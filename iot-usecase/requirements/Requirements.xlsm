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DieseArbeitsmappe" defaultThemeVersion="166925"/>
  <mc:AlternateContent xmlns:mc="http://schemas.openxmlformats.org/markup-compatibility/2006">
    <mc:Choice Requires="x15">
      <x15ac:absPath xmlns:x15ac="http://schemas.microsoft.com/office/spreadsheetml/2010/11/ac" url="C:\Users\sebastianka\Git\thesis\iot-usecase\requirements\"/>
    </mc:Choice>
  </mc:AlternateContent>
  <xr:revisionPtr revIDLastSave="0" documentId="13_ncr:1_{49E22BED-1BD9-49F2-A82A-8CEF736E14FB}" xr6:coauthVersionLast="45" xr6:coauthVersionMax="45" xr10:uidLastSave="{00000000-0000-0000-0000-000000000000}"/>
  <bookViews>
    <workbookView xWindow="-108" yWindow="-108" windowWidth="23256" windowHeight="12576" xr2:uid="{C274A9B1-D201-4E3B-96C4-153DF13FE218}"/>
  </bookViews>
  <sheets>
    <sheet name="Requirements" sheetId="1" r:id="rId1"/>
    <sheet name="Classes" sheetId="2" r:id="rId2"/>
    <sheet name="UIs" sheetId="5" r:id="rId3"/>
    <sheet name="Stats" sheetId="3" r:id="rId4"/>
  </sheets>
  <definedNames>
    <definedName name="_xlnm._FilterDatabase" localSheetId="0" hidden="1">Requirements!$A$1:$N$84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3" l="1"/>
  <c r="D3" i="3" l="1"/>
  <c r="B6" i="3"/>
  <c r="B4" i="3"/>
  <c r="D4" i="3"/>
  <c r="B3" i="3"/>
  <c r="B2" i="3"/>
  <c r="D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tc={FE48567C-4C2D-4C85-AB6C-F5F332BAEB49}</author>
    <author>tc={546B125C-1C4F-42A1-BAA4-77ADAD7A6AF2}</author>
    <author>tc={EFD15302-96B0-4559-88FB-962157B0C5E5}</author>
    <author>tc={A582FAD4-8F80-4838-B8AD-BAB3442429DF}</author>
    <author>tc={0DD66A46-05F3-4DD8-AC4C-A3FEDCC0CBCD}</author>
    <author>tc={116D18FC-65EB-4A8C-BEB7-558E466D8EF6}</author>
    <author>tc={3ECE70EC-41FB-4625-A58D-BD6BD4E036C9}</author>
    <author>tc={85D8B2BA-0A51-42E2-8C11-58F0F422F690}</author>
    <author>tc={A3724B36-0224-4AF1-AF73-863F1357D370}</author>
    <author>tc={7CE5B636-E0AF-499D-873D-1F408CAA98D8}</author>
    <author>tc={D0935EA4-071C-4679-B3BF-29CFB1B14470}</author>
    <author>tc={746C4272-A59B-48D6-834C-4656693CBD7A}</author>
    <author>tc={1B96A1A4-2173-4DDC-B483-795908B24F97}</author>
    <author>tc={5878DFE3-38FC-46FA-8B10-3563EBEF10C5}</author>
    <author>tc={790C0D45-4FCC-4148-B322-07B06F91AA1A}</author>
    <author>tc={F6B6CF07-05F6-47BB-B82B-C67E80977C6F}</author>
    <author>tc={EE5F581D-3968-4671-ACD7-9BD2B6ED44E6}</author>
    <author>tc={42B56D89-09C4-427F-A3A8-7622C2173E4D}</author>
    <author>tc={1539A302-A867-4153-A156-71363699C926}</author>
    <author>tc={298FD523-349F-436E-845C-8CB9EE669485}</author>
    <author>tc={70748A68-2148-400B-AEDA-40BCD9FF4F9E}</author>
    <author>tc={E86D1097-BDAF-44C1-9E03-532330E7C4B9}</author>
    <author>tc={7BEBA469-E5C8-4B06-ADBB-30FED1DE2C6D}</author>
    <author>tc={0AB91D9D-B550-431A-9C55-5F92A0990DEC}</author>
    <author>tc={40AE5847-3C18-4511-88B2-44E278452F6A}</author>
    <author>tc={8E918B05-7032-4AD3-AE1E-FF2B53FDF7B5}</author>
    <author>tc={E96E37F3-6EEB-42D9-8C49-66C4120D1E19}</author>
    <author>tc={44DCF6EF-C659-4D92-9CE9-3819B31F1BBB}</author>
    <author>tc={B13FC58A-3651-4A80-900A-F0E83A39506C}</author>
    <author>tc={C83D61D4-442C-4275-B853-299D54F1DF6E}</author>
    <author>tc={216951EC-912A-4D7E-80AB-3AB895D83564}</author>
    <author>tc={2F186C60-0A74-4E53-8B8C-76D79C5DA9F2}</author>
    <author>tc={A33EB849-A3BC-424D-8B91-C1F5E4F09718}</author>
    <author>tc={4259902A-2AF0-4138-96B8-C2071735D6F4}</author>
    <author>tc={D00104D5-8419-4637-A869-6900872014CA}</author>
    <author>tc={D7EB2023-B72B-43DC-ACA4-9821DDD1252F}</author>
  </authors>
  <commentList>
    <comment ref="B2" authorId="0" shapeId="0" xr:uid="{FE48567C-4C2D-4C85-AB6C-F5F332BAEB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captures any condition or criteria needed to validate the successful completion of a project  deliverable or fulfillment of other project requirements.</t>
      </text>
    </comment>
    <comment ref="E2" authorId="1" shapeId="0" xr:uid="{546B125C-1C4F-42A1-BAA4-77ADAD7A6A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set of functions covers all the specified tasks and user objectives.</t>
      </text>
    </comment>
    <comment ref="F2" authorId="2" shapeId="0" xr:uid="{EFD15302-96B0-4559-88FB-962157B0C5E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response and processing times and throughput rates of a product or system, when performing its functions, meet requirements.</t>
      </text>
    </comment>
    <comment ref="G2" authorId="3" shapeId="0" xr:uid="{A582FAD4-8F80-4838-B8AD-BAB3442429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can perform its required functions efficiently while sharing a common environment and resources with other products, without detrimental impact on any other product.</t>
      </text>
    </comment>
    <comment ref="H2" authorId="4" shapeId="0" xr:uid="{0DD66A46-05F3-4DD8-AC4C-A3FEDCC0CBC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users can recognize whether a product or system is appropriate for their needs.</t>
      </text>
    </comment>
    <comment ref="I2" authorId="5" shapeId="0" xr:uid="{116D18FC-65EB-4A8C-BEB7-558E466D8EF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meets needs for reliability under normal operation.</t>
      </text>
    </comment>
    <comment ref="J2" authorId="6" shapeId="0" xr:uid="{3ECE70EC-41FB-4625-A58D-BD6BD4E036C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prototype ensures that data are accessible only to those authorized to have access.</t>
      </text>
    </comment>
    <comment ref="K2" authorId="7" shapeId="0" xr:uid="{85D8B2BA-0A51-42E2-8C11-58F0F422F69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or computer program is composed of discrete components such that a change to one component has minimal impact on other components.</t>
      </text>
    </comment>
    <comment ref="L2" authorId="8" shapeId="0" xr:uid="{A3724B36-0224-4AF1-AF73-863F1357D3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effectively and efficiently be adapted for different or evolving hardware, software or other operational or usage environments.</t>
      </text>
    </comment>
    <comment ref="B3" authorId="9" shapeId="0" xr:uid="{7CE5B636-E0AF-499D-873D-1F408CAA98D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the actions, processes, or other conditions the project needs to meet.</t>
      </text>
    </comment>
    <comment ref="E3" authorId="10" shapeId="0" xr:uid="{D0935EA4-071C-4679-B3BF-29CFB1B144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functions provides the correct results with the needed degree of precision.</t>
      </text>
    </comment>
    <comment ref="F3" authorId="11" shapeId="0" xr:uid="{746C4272-A59B-48D6-834C-4656693CBD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amounts and types of resources used by a product or system, when performing its functions, meet requirements.</t>
      </text>
    </comment>
    <comment ref="G3" authorId="12" shapeId="0" xr:uid="{1B96A1A4-2173-4DDC-B483-795908B24F9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two or more systems, products or components can exchange information and use the information that has been exchanged.</t>
      </text>
    </comment>
    <comment ref="H3" authorId="13" shapeId="0" xr:uid="{5878DFE3-38FC-46FA-8B10-3563EBEF10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enables the user to learn how to use it with effectiveness, efficiency in emergency situations.</t>
      </text>
    </comment>
    <comment ref="I3" authorId="14" shapeId="0" xr:uid="{790C0D45-4FCC-4148-B322-07B06F91AA1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is operational and accessible when required for use.</t>
      </text>
    </comment>
    <comment ref="J3" authorId="15" shapeId="0" xr:uid="{F6B6CF07-05F6-47BB-B82B-C67E80977C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prevents unauthorized access to, or modification of, computer programs or data.</t>
      </text>
    </comment>
    <comment ref="K3" authorId="16" shapeId="0" xr:uid="{EE5F581D-3968-4671-ACD7-9BD2B6ED44E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an asset can be used in more than one system, or in building other assets.</t>
      </text>
    </comment>
    <comment ref="L3" authorId="17" shapeId="0" xr:uid="{42B56D89-09C4-427F-A3A8-7622C2173E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in which a product or system can be successfully installed and/or uninstalled in a specified environment.</t>
      </text>
    </comment>
    <comment ref="B4" authorId="18" shapeId="0" xr:uid="{1539A302-A867-4153-A156-71363699C92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the higher-level needs of the organization as a whole, such as the business issues or opportunities, and reasons why a project has been undertaken.</t>
      </text>
    </comment>
    <comment ref="C4" authorId="19" shapeId="0" xr:uid="{298FD523-349F-436E-845C-8CB9EE66948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essentially a constraint on the development of the software</t>
      </text>
    </comment>
    <comment ref="E4" authorId="20" shapeId="0" xr:uid="{70748A68-2148-400B-AEDA-40BCD9FF4F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functions facilitate the accomplishment of specified tasks and objectives.</t>
      </text>
    </comment>
    <comment ref="F4" authorId="21" shapeId="0" xr:uid="{E86D1097-BDAF-44C1-9E03-532330E7C4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maximum limits of the product or system, parameter meet requirements.</t>
      </text>
    </comment>
    <comment ref="H4" authorId="22" shapeId="0" xr:uid="{7BEBA469-E5C8-4B06-ADBB-30FED1DE2C6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is easy to operate, control and appropriate to use.</t>
      </text>
    </comment>
    <comment ref="I4" authorId="23" shapeId="0" xr:uid="{0AB91D9D-B550-431A-9C55-5F92A0990DE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system, product or component operates as intended despite the presence of hardware or software faults.</t>
      </text>
    </comment>
    <comment ref="J4" authorId="24" shapeId="0" xr:uid="{40AE5847-3C18-4511-88B2-44E278452F6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actions or events can be proven to have taken place, so that the events or actions cannot be repudiated later.</t>
      </text>
    </comment>
    <comment ref="K4" authorId="25" shapeId="0" xr:uid="{8E918B05-7032-4AD3-AE1E-FF2B53FDF7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with which it is possible to assess the impact on a product or system of an intended change to one or more of its parts, or to diagnose a product for deficiencies or causes of failures, or to identify parts to be modified.</t>
      </text>
    </comment>
    <comment ref="L4" authorId="26" shapeId="0" xr:uid="{E96E37F3-6EEB-42D9-8C49-66C4120D1E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can replace another specified software product for the same purpose in the same environment.</t>
      </text>
    </comment>
    <comment ref="B5" authorId="27" shapeId="0" xr:uid="{44DCF6EF-C659-4D92-9CE9-3819B31F1BB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needs of a stakeholder or stakeholder group.</t>
      </text>
    </comment>
    <comment ref="H5" authorId="28" shapeId="0" xr:uid="{B13FC58A-3651-4A80-900A-F0E83A39506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user interface enables pleasing and satisfying interaction for the user.</t>
      </text>
    </comment>
    <comment ref="I5" authorId="29" shapeId="0" xr:uid="{C83D61D4-442C-4275-B853-299D54F1DF6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in the event of an interruption or a failure, a product or system can recover the data directly affected and re-establish the desired state of the system.</t>
      </text>
    </comment>
    <comment ref="J5" authorId="30" shapeId="0" xr:uid="{216951EC-912A-4D7E-80AB-3AB895D835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actions of an entity can be traced uniquely to the entity.</t>
      </text>
    </comment>
    <comment ref="K5" authorId="31" shapeId="0" xr:uid="{2F186C60-0A74-4E53-8B8C-76D79C5DA9F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be effectively and efficiently modified without introducing defects or degrading existing product quality.</t>
      </text>
    </comment>
    <comment ref="B6" authorId="32" shapeId="0" xr:uid="{A33EB849-A3BC-424D-8B91-C1F5E4F0971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describes temporary capabilities, such as data conversion and training requirements, needed to transition from the current “as-is” state to the future “to-be” state.</t>
      </text>
    </comment>
    <comment ref="H6" authorId="33" shapeId="0" xr:uid="{4259902A-2AF0-4138-96B8-C2071735D6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a product or system can be used by people with the widest range of characteristics and capabilities to achieve a specified goal in a specified context of use.</t>
      </text>
    </comment>
    <comment ref="J6" authorId="34" shapeId="0" xr:uid="{D00104D5-8419-4637-A869-6900872014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to which the identity of a subject or resource can be proved to be the one claimed.</t>
      </text>
    </comment>
    <comment ref="K6" authorId="35" shapeId="0" xr:uid="{D7EB2023-B72B-43DC-ACA4-9821DDD1252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degree of effectiveness and efficiency with which test criteria can be established for a system, product or component and tests can be performed to determine whether those criteria have been met.</t>
      </text>
    </comment>
  </commentList>
</comments>
</file>

<file path=xl/sharedStrings.xml><?xml version="1.0" encoding="utf-8"?>
<sst xmlns="http://schemas.openxmlformats.org/spreadsheetml/2006/main" count="818" uniqueCount="409">
  <si>
    <t>Task</t>
  </si>
  <si>
    <t>Task M1.1</t>
  </si>
  <si>
    <t>Requirement M1.1.1</t>
  </si>
  <si>
    <t>Requirement M1.2.1</t>
  </si>
  <si>
    <t>Task M2.1</t>
  </si>
  <si>
    <t>Requirement M2.1.1</t>
  </si>
  <si>
    <t>Task M3.1</t>
  </si>
  <si>
    <t>Requirement M3.1.1</t>
  </si>
  <si>
    <t>Requirement M3.2.1</t>
  </si>
  <si>
    <t>Requirement M3.2.2</t>
  </si>
  <si>
    <t>Die Geräte benötigen Sensoren, um Fehler und Defekte zu detektieren.</t>
  </si>
  <si>
    <t>Story
M1
"Geräte vermieten"</t>
  </si>
  <si>
    <t>Story
C1
"Ansicht verfügbarer Geräte"</t>
  </si>
  <si>
    <t>Requirement C1.1.1</t>
  </si>
  <si>
    <t>Requirement C2.1.1</t>
  </si>
  <si>
    <t>Task C2.1</t>
  </si>
  <si>
    <t>Task C2.2</t>
  </si>
  <si>
    <t>Requirement C2.2.1</t>
  </si>
  <si>
    <t>Task C3.1</t>
  </si>
  <si>
    <t>Task C3.2</t>
  </si>
  <si>
    <t>"Als Customer möchte ich die gemieteten Geräte reinigen und warten können, um dafür vom Hersteller eine Gutschrift auf mein Vertragskonto zu erhalten."</t>
  </si>
  <si>
    <t>Das Gerät muss die Reinigung / Wartung durch den Customer detektieren können.</t>
  </si>
  <si>
    <t>Es muss sichergestellt werden, dass eine Reinigung / Reparatur dem Gerät bzw. dessen Sensoren nicht vorgespielt werden kann.</t>
  </si>
  <si>
    <t>Der Customer muss vom Gerät eindeutig identifiziert werden können.</t>
  </si>
  <si>
    <t>Die Reinigung / Wartung muss an die Plattform übertragen werden und gemäß des Vertrages abgerechnet werden.</t>
  </si>
  <si>
    <t>Task SP1.1</t>
  </si>
  <si>
    <t>Requirement SP1.1.1</t>
  </si>
  <si>
    <t>Requirement SP1.1.2</t>
  </si>
  <si>
    <t>Task SP2.1</t>
  </si>
  <si>
    <t>Task SP2.2</t>
  </si>
  <si>
    <t>"Als Service-Provider möchte ich nach der Durchführung der Wartung diese mit meinem Smartphone am Gerät bestätigen, um den Service-Auftrag abzuschließen."</t>
  </si>
  <si>
    <t>Es wird eine App benötigt, mit der der Service-Provider seine Identität und die durchgeführte Wartung am Gerät bestätigen kann.</t>
  </si>
  <si>
    <t>Task P1.1</t>
  </si>
  <si>
    <t>Task P1.2</t>
  </si>
  <si>
    <t>Requirement P1.1.1</t>
  </si>
  <si>
    <t>Requirement P1.2.1</t>
  </si>
  <si>
    <t>Story</t>
  </si>
  <si>
    <t>Description</t>
  </si>
  <si>
    <t>Requirement</t>
  </si>
  <si>
    <t>Akteuere können sich an der Plattform registrieren und gemäß ihrer Rolle miteinander agieren.</t>
  </si>
  <si>
    <t>Die Geräte müssen den Verbrauch detektieren.</t>
  </si>
  <si>
    <t>Requirements</t>
  </si>
  <si>
    <t>User-Stories</t>
  </si>
  <si>
    <t>Tasks</t>
  </si>
  <si>
    <t>Title</t>
  </si>
  <si>
    <t>Level-1</t>
  </si>
  <si>
    <t>System</t>
  </si>
  <si>
    <t>Software</t>
  </si>
  <si>
    <t>Quality</t>
  </si>
  <si>
    <t>Project</t>
  </si>
  <si>
    <t>Business</t>
  </si>
  <si>
    <t>Stakeholder</t>
  </si>
  <si>
    <t>Transition</t>
  </si>
  <si>
    <t>Non-Functional</t>
  </si>
  <si>
    <t>Functional</t>
  </si>
  <si>
    <t>Process</t>
  </si>
  <si>
    <t>Class
Level-1</t>
  </si>
  <si>
    <t>Class
Level-2</t>
  </si>
  <si>
    <t>Classified</t>
  </si>
  <si>
    <t>Compatibility</t>
  </si>
  <si>
    <t>Usability</t>
  </si>
  <si>
    <t>Reliability</t>
  </si>
  <si>
    <t>Security</t>
  </si>
  <si>
    <t>Maintainability</t>
  </si>
  <si>
    <t>Portability</t>
  </si>
  <si>
    <t>of</t>
  </si>
  <si>
    <t>defined</t>
  </si>
  <si>
    <t>"Als Service-Provider möchte ich meine Angebotspalette auf der Plattform anbieten können."</t>
  </si>
  <si>
    <t>Story
SP1
"Dienstleitungen bereitstellen"</t>
  </si>
  <si>
    <t>Requirement SP2.1.1</t>
  </si>
  <si>
    <t>Requirement SP2.1.2</t>
  </si>
  <si>
    <t>Requirement SP2.2.1</t>
  </si>
  <si>
    <t>Ein Service-Provider muss seine angebotenen Dienstleitungen auf der Plattform eingeben können.</t>
  </si>
  <si>
    <t>Task SA1.1</t>
  </si>
  <si>
    <t>Requirement SA1.1.1</t>
  </si>
  <si>
    <t>Task BD1.1</t>
  </si>
  <si>
    <t>Task BD1.2</t>
  </si>
  <si>
    <t>Requirement BD1.1.1</t>
  </si>
  <si>
    <t>Requirement BD1.2.1</t>
  </si>
  <si>
    <t>Task SEC1.1</t>
  </si>
  <si>
    <t>Task SEC1.2</t>
  </si>
  <si>
    <t>Requirement SEC1.1.1</t>
  </si>
  <si>
    <t>Requirement SEC1.1.2</t>
  </si>
  <si>
    <t>Requirement SEC1.2.1</t>
  </si>
  <si>
    <t>Requirement SEC1.2.2</t>
  </si>
  <si>
    <t>Story
SEC1
"Sichere Zahlungsabwicklung"</t>
  </si>
  <si>
    <t>Task SEC2.1</t>
  </si>
  <si>
    <t>Task SEC2.2</t>
  </si>
  <si>
    <t>"Als IT-Security-Beauftragter möchte ich sichergestellt wissen, dass die Zahlungsabwicklung auf der Plattform sicher und voll funktionsfähig ist."</t>
  </si>
  <si>
    <t>Requirement SEC2.1.1</t>
  </si>
  <si>
    <t>Requirement SEC2.2.1</t>
  </si>
  <si>
    <t>Task SEC3.1</t>
  </si>
  <si>
    <t>Task SEC3.2</t>
  </si>
  <si>
    <t>Requirement SEC3.1.1</t>
  </si>
  <si>
    <t>Requirement SEC3.1.2</t>
  </si>
  <si>
    <t>Requirement SEC3.2.1</t>
  </si>
  <si>
    <t>Story
SEC2
"Sichere Kommunikation und signierte Nachrichten"</t>
  </si>
  <si>
    <t>NonFunctional</t>
  </si>
  <si>
    <t>Functional completeness</t>
  </si>
  <si>
    <t>Functional correctness</t>
  </si>
  <si>
    <t>Functional appropriateness</t>
  </si>
  <si>
    <t>Time behavior</t>
  </si>
  <si>
    <t>Ressource utilization</t>
  </si>
  <si>
    <t>Co-existence</t>
  </si>
  <si>
    <t>Interoperability</t>
  </si>
  <si>
    <t>Appropriateness recognisability</t>
  </si>
  <si>
    <t>Learnability</t>
  </si>
  <si>
    <t>Operability</t>
  </si>
  <si>
    <t>User interface aesthetics</t>
  </si>
  <si>
    <t>Accessability</t>
  </si>
  <si>
    <t>Maturity</t>
  </si>
  <si>
    <t>Availability</t>
  </si>
  <si>
    <t>Fault tolerance</t>
  </si>
  <si>
    <t>Recoverability</t>
  </si>
  <si>
    <t>Confidentiality</t>
  </si>
  <si>
    <t>Integrity</t>
  </si>
  <si>
    <t>Non-repudiation</t>
  </si>
  <si>
    <t>Accountability</t>
  </si>
  <si>
    <t>Authenticity</t>
  </si>
  <si>
    <t>Modularity</t>
  </si>
  <si>
    <t>Reusability</t>
  </si>
  <si>
    <t>Analysability</t>
  </si>
  <si>
    <t>Modifyability</t>
  </si>
  <si>
    <t>Testability</t>
  </si>
  <si>
    <t>Adaptability</t>
  </si>
  <si>
    <t>Installability</t>
  </si>
  <si>
    <t>Replaceability</t>
  </si>
  <si>
    <t>FunctionalitySuitability</t>
  </si>
  <si>
    <t>PerformanceEfficiency</t>
  </si>
  <si>
    <t>Non-Functional
Subcategory</t>
  </si>
  <si>
    <t>Capacity</t>
  </si>
  <si>
    <t>Es muss sichergestellt werden, dass Sender und Empfänger des Geldes eindeutig identifizierbar sind.</t>
  </si>
  <si>
    <t>Es muss sichergestellt werden, dass Geldtransfers vom Sender an den Empfänger durchgeführt werden.</t>
  </si>
  <si>
    <t>"Als Business-Developer möchte ich mit dem Geschäftsmodell Pay-As-You-Use einen größeren Kundenbereich ansprechen und den Umsatz steigern."</t>
  </si>
  <si>
    <t>Story
BD1
"Geschäftsmodell"</t>
  </si>
  <si>
    <t>Story
BD2
"Plattform für Partner"</t>
  </si>
  <si>
    <t>"Als Business-Developer möchte ich eine Plattform, die für Partner wie Service-Provider oder Supplier leicht zugänglich ist."</t>
  </si>
  <si>
    <t>Story
BD3
"Hersteller-übergreifende Plattform"</t>
  </si>
  <si>
    <t>"Als Business-Developer möchte ich in Zukunft eine Plattform schaffen, auf der Hersteller unterschiedlicher Branchen ihre Produkte nach dem Pay-As-You-Use Prinzip vermieten können, um dem Kunden eine breitere Produktpalette zu bieten."</t>
  </si>
  <si>
    <t>Requirement BD2.1.1</t>
  </si>
  <si>
    <t>Requirement BD2.1.2</t>
  </si>
  <si>
    <t>Requirement BD2.2.1</t>
  </si>
  <si>
    <t>Requirement BD3.1.1</t>
  </si>
  <si>
    <t>Requirement BD3.2.1</t>
  </si>
  <si>
    <t>Task BD4.1</t>
  </si>
  <si>
    <t>Task BD3.1</t>
  </si>
  <si>
    <t>Task BD3.2</t>
  </si>
  <si>
    <t>Task BD2.1</t>
  </si>
  <si>
    <t>Task BD2.2</t>
  </si>
  <si>
    <t>Task SA2.1</t>
  </si>
  <si>
    <t>Requirement SA2.1.1</t>
  </si>
  <si>
    <t>Requirement SA2.1.2</t>
  </si>
  <si>
    <t>"Als System-Architekt möchte ich eine modular aufgebaute Plattform, damit diese später möglichst einfach erweitert werden kann."</t>
  </si>
  <si>
    <t>"Als IT-Security-Beauftragter möchte ich eine verschlüsselte Kommunikation mit der Plattform, damit meine Daten nicht in die Hände von Dritten gelangen."</t>
  </si>
  <si>
    <t>Es müssen Vorkehrungen gegen Manipulationen getroffen werden.</t>
  </si>
  <si>
    <t>Die Plattform darf keinen SPOF haben, damit im Falle eines Crashes das Gesamtsystem weiterhin lauffähig ist.</t>
  </si>
  <si>
    <t>Story
SEC3
"Manipulationssicherheit"</t>
  </si>
  <si>
    <t>"Als IT-Security-Beauftragter möchte ich eine manipulationssichere Plattform, um die Integrität und Echtheit der Daten zu gewährleisten."</t>
  </si>
  <si>
    <t>"Als System-Architekt möchte ich SPOFs und Datenverlust vermeiden, damit das System auch im Fehlerfall weiter funktionsfähig ist."</t>
  </si>
  <si>
    <t>Funktionalitäten werden in Modulen gekapselt und als Service bereitgestellt.</t>
  </si>
  <si>
    <t>Story
P1
"Deployment &amp; Testing"</t>
  </si>
  <si>
    <t>"Als Betreiber der Plattform möchte ich eine automatisierte und korrekte Bereitstellung der Plattform, um meinen Aufwand zu reduzieren."</t>
  </si>
  <si>
    <t>Die Einbindung von Verträgen sowie deren Struktur muss möglichst modular und unabhängig geschehen, damit später andere Verträge leicht integriert werden können.</t>
  </si>
  <si>
    <t>Ein Gerät muss auf der Plattform generisch repräsentiert werden und darf nicht von einem bestimmten Produkttyp oder Hersteller abhängig sein.</t>
  </si>
  <si>
    <t>Ein Vertrag muss auf der Plattform generisch repräsentiert werden und darf nicht von einem bestimmten Produkttyp oder Hersteller abhängig sein.</t>
  </si>
  <si>
    <t>Partner müssen als solche identifiziert sein.</t>
  </si>
  <si>
    <t>Es wird nur getestete Software bereitgestellt.</t>
  </si>
  <si>
    <t>Die Bereitstellung ist automatisiert.</t>
  </si>
  <si>
    <t>https://www.codacy.com/blog/iso-25010-software-quality-model/</t>
  </si>
  <si>
    <t>Requirement SEC1.1.3</t>
  </si>
  <si>
    <t>Vermietete Geräte werden nach dem Pay-As-You-Use Prinzip abgerechnet.</t>
  </si>
  <si>
    <t>Partner agieren auf der Plattform.</t>
  </si>
  <si>
    <t>Die Plattform muss zukünftig weitere Hersteller zulassen, um ein ganzes Ökosystem von Geräten aller Art dem Customer zugänglich zu machen.</t>
  </si>
  <si>
    <t>Requirement BD3.3.1</t>
  </si>
  <si>
    <t>Task BD3.3</t>
  </si>
  <si>
    <t>Requirement BD4.2.1</t>
  </si>
  <si>
    <t>Requirement BD4.2.2</t>
  </si>
  <si>
    <t>Ein Customer muss zunächst mit der Plattform bekannt gemacht werden.</t>
  </si>
  <si>
    <t>"Als Customer möchte ich eine intuitve, einfach zu bedienende Oberfläche, um mich gut auf der Plattform zurechtzufinden."</t>
  </si>
  <si>
    <t>Die Plattform muss optisch ansprechend sein.</t>
  </si>
  <si>
    <t>Manufacturer</t>
  </si>
  <si>
    <t>Übersicht Mietverträge</t>
  </si>
  <si>
    <t>Detailansicht Mietverträge</t>
  </si>
  <si>
    <t>Mietverträge editieren</t>
  </si>
  <si>
    <t>Übersicht Mietanfragen</t>
  </si>
  <si>
    <t>Übersicht Service-Provider</t>
  </si>
  <si>
    <t>Übersicht Supplier</t>
  </si>
  <si>
    <t>Customer</t>
  </si>
  <si>
    <t>Service-Provider</t>
  </si>
  <si>
    <t>Supplier</t>
  </si>
  <si>
    <t>Registrieren / Anmelden</t>
  </si>
  <si>
    <t>Geräte mieten</t>
  </si>
  <si>
    <t>Services anbieten</t>
  </si>
  <si>
    <t>Angebote editieren</t>
  </si>
  <si>
    <t>Service-Verträge akzeptieren</t>
  </si>
  <si>
    <t>Übersicht Service-Verträge</t>
  </si>
  <si>
    <t>Smartphone / Service</t>
  </si>
  <si>
    <t>Übersicht Lieferverträge</t>
  </si>
  <si>
    <t>Übersicht Lieferaufträge</t>
  </si>
  <si>
    <t>Übersicht laufende Verträge
Kosten &amp; Verbrauch</t>
  </si>
  <si>
    <t>Lieferverträge akzeptieren</t>
  </si>
  <si>
    <t>Task A1.1</t>
  </si>
  <si>
    <t>Task A1.2</t>
  </si>
  <si>
    <t>Task A1.3</t>
  </si>
  <si>
    <t>Akteure können über die Plattform Verträge miteinander abschließen.</t>
  </si>
  <si>
    <t>Story
A1
"Agieren auf Plattform"</t>
  </si>
  <si>
    <t>Task M1.2</t>
  </si>
  <si>
    <t>Akteure können über die Plattform miteinander kommunizieren.</t>
  </si>
  <si>
    <t>"Als Manufacturer möchte ich in der Lage sein, Verträge anzulegen, um meine Geräte über die Plattform vermieten zu können."</t>
  </si>
  <si>
    <t>Requirement A1.1.1</t>
  </si>
  <si>
    <t>Requirement A1.1.2</t>
  </si>
  <si>
    <t>Requirement A1.1.3</t>
  </si>
  <si>
    <t>Requirement A1.1.4</t>
  </si>
  <si>
    <t>Requirement A1.1.5</t>
  </si>
  <si>
    <t>Requirement A1.2.1</t>
  </si>
  <si>
    <t>Requirement A1.2.2</t>
  </si>
  <si>
    <t>Requirement A1.2.3</t>
  </si>
  <si>
    <t>Requirement A1.2.4</t>
  </si>
  <si>
    <t>Requirement A1.2.5</t>
  </si>
  <si>
    <t>Requirement A1.3.1</t>
  </si>
  <si>
    <t>Requirement A1.3.2</t>
  </si>
  <si>
    <t>Requirement A1.3.3</t>
  </si>
  <si>
    <t>Requirement A1.3.4</t>
  </si>
  <si>
    <t>Requirement A1.3.6</t>
  </si>
  <si>
    <t>Requirement A1.3.7</t>
  </si>
  <si>
    <t>Requirement A1.3.8</t>
  </si>
  <si>
    <t>Story
M2
"Verträge erzeugen"</t>
  </si>
  <si>
    <t>Requirement M2.1.2</t>
  </si>
  <si>
    <t>Requirement M2.1.3</t>
  </si>
  <si>
    <t>"Als Manufacturer möchte ich meine Geräte über die Plattform vermieten können, um meinen Umsatz zu steigern."</t>
  </si>
  <si>
    <t>Requirement A1.3.9</t>
  </si>
  <si>
    <t>Task A1.4</t>
  </si>
  <si>
    <t>Akteure benötigen grafische Oberflächen zum Agieren auf der Plattform.</t>
  </si>
  <si>
    <t>Requirement A1.3.10</t>
  </si>
  <si>
    <t>Requirement A1.4.1</t>
  </si>
  <si>
    <t>Story
M3
"Verträge abrechnen"</t>
  </si>
  <si>
    <t>Story
C2
"Geräte warten"</t>
  </si>
  <si>
    <t>Task C2.3</t>
  </si>
  <si>
    <t>Task C2.4</t>
  </si>
  <si>
    <t>Requirement C2.3.1</t>
  </si>
  <si>
    <t>Story
C3
"Einfache Bedienbarkeit der Plattform"</t>
  </si>
  <si>
    <t>Story
SP2
"Service-Aufträge abschließen"</t>
  </si>
  <si>
    <t>Requirement SP2.2.2</t>
  </si>
  <si>
    <t>Ein Manufacturer kann Verträge erzeugen.</t>
  </si>
  <si>
    <t>"Als Akteur möchte ich in meiner Rolle als [X] auf der Plattform agieren."</t>
  </si>
  <si>
    <t>GUI</t>
  </si>
  <si>
    <t>Kommunikation</t>
  </si>
  <si>
    <t>Datenintegrität</t>
  </si>
  <si>
    <t>Finanzen</t>
  </si>
  <si>
    <t>Endgerät</t>
  </si>
  <si>
    <t>UX</t>
  </si>
  <si>
    <t>Typ</t>
  </si>
  <si>
    <t>Entwicklung</t>
  </si>
  <si>
    <t>Deployment</t>
  </si>
  <si>
    <t>Rollenmanagement</t>
  </si>
  <si>
    <t>Vertragskonstrukt</t>
  </si>
  <si>
    <t>Akteure können ihre Verträge im Nachhinein ändern.</t>
  </si>
  <si>
    <t>Ein Service-Provider kann einen Service-Auftrag starten und beenden, wenn er sich in der Nähe des Gerät befindet.</t>
  </si>
  <si>
    <t xml:space="preserve">Ein Akteur agiert immer mit einer bestimmten Rolle auf der Plattform: Manufacturer, Customer, Supplier, Service-Provider oder Gerät. Ein Akteur kann mehrere Rollen haben. </t>
  </si>
  <si>
    <t>Der Customer hat Zugriff auf eine detaillierte Beschreibung des Geräts.</t>
  </si>
  <si>
    <t>Ein Customer erhält eine initiale Einführung über die Plattform bei der ersten Anmeldung.</t>
  </si>
  <si>
    <t>Die Funktionen der Plattform sind für den Customer schnell erlernbar und leicht verständlich.</t>
  </si>
  <si>
    <t>Die Plattform ist für den Customer optisch ansprechend.</t>
  </si>
  <si>
    <t>Jeder Akteur auf der Plattform kann eindeutig identifiziert werden.</t>
  </si>
  <si>
    <t>Es existiert eine Oberfläche, auf die jeder Akteur Zugriff hat. Dort kann er sich registrieren und anmelden.</t>
  </si>
  <si>
    <t>Ein Akteur hat eine (mehrere) verifizierte Rolle(n).</t>
  </si>
  <si>
    <t>Akteure kommunizieren über die Plattform.</t>
  </si>
  <si>
    <t>Die Kommunitkation zwischen den Akteuren kann nicht gelöscht oder manipuliert werden.</t>
  </si>
  <si>
    <t>Die Kommunitkation zwischen den Akteuren ist nachvollziehbar und eindeutig zuordenbar.</t>
  </si>
  <si>
    <t>Akteure schließen Verträge über die Plattform ab.</t>
  </si>
  <si>
    <t>Akteure können Verträge ablehnen oder annehmen.</t>
  </si>
  <si>
    <t>Akteure können nur ihre eigenen Verträge ändern.</t>
  </si>
  <si>
    <t>Es existiert eine Oberfläche, auf die der Akteur Zugriff hat. Dort hat er eine Übersicht über alle seiner Verträge sowie aggregierte Informationen wie Anzahl aller Verträge, Kontostand, etc. Es werden ebenfalls angebotene Verträge angezeigt, die angenommen oder abgelehnt werden können.</t>
  </si>
  <si>
    <t>Es existiert eine Oberfläche, auf die der Manufacturer Zugriff hat. Dort kann er Mietverträge erzeugen und als Antwort auf seine Mietanfrage an den Customer senden.</t>
  </si>
  <si>
    <t>Es existiert eine Oberfläche, auf die der Manufacturer Zugriff hat. Dort kann er alle Service-Provider und deren Dienstleistungen einsehen, Service-Verträge erzeugen und an einen Service-Provider senden.</t>
  </si>
  <si>
    <t>Es existiert eine Oberfläche, auf die der Akteur Zugriff hat. Dort hat er eine detaillierte Übersicht über einen seiner Verträge und kann sich Detailinformationen dazu ansehen. Außerdem sieht er eine Übersicht über alle Nachrichten, die mit diesem Verträg in Verbindung stehen und den Vertrag bearbeiten.</t>
  </si>
  <si>
    <t>Es existiert eine Oberfläche, auf die der Manufacturer Zugriff hat. Dort kann er alle Supplier einsehen, Lieferverträge erzeugen und an den Supplier senden.</t>
  </si>
  <si>
    <t>Es existiert eine Oberfläche, auf die der Customer Zugriff hat. Dort hat er die Möglichkeit, alle verfügbaren Geräte aufzulisten.</t>
  </si>
  <si>
    <t>Es existiert eine Oberfläche, auf die der Service-Provider Zugriff hat. Dort kann er alle Dienstleitungen, die er anbietet, sowie Detailinformationen, wie zum Beispiel Kosten der Dienstleitung, eintragen und damit auf der Plattform verfügbar machen.</t>
  </si>
  <si>
    <t>Es existiert eine Oberfläche, auf die der Service-Provider Zugriff hat. Dort kann er bereits angebotene Diensteleitungen editieren oder löschen.</t>
  </si>
  <si>
    <t>Ein Gerät kann den Service-Provider eindeutig identifizieren.</t>
  </si>
  <si>
    <t>Konten sind zugriffsgeschützt.</t>
  </si>
  <si>
    <t>Die Kommunikation zwischen Akteuren und der Plattform muss verschlüsselt werden.</t>
  </si>
  <si>
    <t>Aktuelle Sicherheitsstandards müssen verwendet werden.</t>
  </si>
  <si>
    <t>Manipulationen werden durch den Einsatz kryptographischer Methoden verhindert.</t>
  </si>
  <si>
    <t>Alle Aktivitäten auf der Plattform werden geloggt.</t>
  </si>
  <si>
    <t>Auf der Plattform agieren Geschäftspartner (Service-Provider, Supplier, ect.).</t>
  </si>
  <si>
    <t>Die Nutzung der Plattform ist intuitiv und schnell erlernbar. Umfangreiche Mitarbeiterschulungen zur Benutzung der Plattform sind nicht notwendig.</t>
  </si>
  <si>
    <t>Der Prozess zur Prüfung, dass es sich z.B. bei einem Service-Provider auch tatsächlich um einen solchen handelt, ist benutzerfreundlich und so schnell und einfach wie möglich umsetzbar.</t>
  </si>
  <si>
    <t>Die Plattform kann Geräte unterschiedlicher Art anbinden und abrechnen.</t>
  </si>
  <si>
    <t>Die Plattform kann unterschiedliche Vertragsarten abbilden und abrechnen.</t>
  </si>
  <si>
    <t>Ein Akteur registriert sich und meldet sich auf der Plattform an, bevor er dort agieren kann.</t>
  </si>
  <si>
    <t>Es existiert eine Oberfläche, auf die jeder Akteur Zugriff hat. Dort kann er Vertragsanfragen erstellen. Auf der Empfängerseite muss eine Oberfläche existieren, die diese Anfragen anzeigt.</t>
  </si>
  <si>
    <t>Akteure haben Zugriff auf alle Vertragsinformationen.</t>
  </si>
  <si>
    <t>Die Verbrauchsdaten der Geräte können nicht manipuliert werden.</t>
  </si>
  <si>
    <t>Es existiert eine Smartphone-Oberfläche, auf die der Service-Provider Zugriff hat. Darüber kann er Wartungen abschließen.</t>
  </si>
  <si>
    <t xml:space="preserve">Geldtransfers werden auf der Plattform geloggt. </t>
  </si>
  <si>
    <t>Die Plattform prüft Geldtransfers vor Ausführung.</t>
  </si>
  <si>
    <t>Jeder Akteuer besitzt eine (mehrere) eindeutige Kontonummer(n).</t>
  </si>
  <si>
    <t>Der Zugang zu den Backend-Systemen wird protokolliert und nur Berechtigten gestattet.</t>
  </si>
  <si>
    <t>Es können in Zukunft weitere Hersteller auf der Plattform ihre Geräte zur Miete anbieten.</t>
  </si>
  <si>
    <t>Einzelne Bestandteile der Plattform beeinflussen sich gegenseitig nicht und können leicht ausgetauscht werden.</t>
  </si>
  <si>
    <t>Bei Ausfall einzelner Komponenten entstehen keine Dateninkonistenzen.</t>
  </si>
  <si>
    <t>Ein Software-Modul wird unabhängig von anderen Modulen bereitgestellt und gewartet.</t>
  </si>
  <si>
    <t>Requirement A1.3.5</t>
  </si>
  <si>
    <t>Requirement A1.4.2</t>
  </si>
  <si>
    <t>Requirement C1.2.1</t>
  </si>
  <si>
    <t>Requirement C2.4.1</t>
  </si>
  <si>
    <t>Requirement C2.4.2</t>
  </si>
  <si>
    <t>Requirement C3.2.1</t>
  </si>
  <si>
    <t>Requirement C3.1.1</t>
  </si>
  <si>
    <t>Requirement C3.1.2</t>
  </si>
  <si>
    <t>Zugriffsschutz</t>
  </si>
  <si>
    <t>Ein Gerät ist Eigentum eines Manufacturers.</t>
  </si>
  <si>
    <t xml:space="preserve"> Ein Manufacturer kann beliebig viele Geräte besitzen und über die Plattform vermieten.</t>
  </si>
  <si>
    <t>Verträge sind rechtlich bindend.</t>
  </si>
  <si>
    <t>Sämtliche Verbindungen sind per SSL/TLS zu verschlüsselt.</t>
  </si>
  <si>
    <t>Die Geräte können auf der Plattform vermietet werden.</t>
  </si>
  <si>
    <t>Die Plattform ist nicht von einer einzelnen Komponente (SPOF) abhängig.</t>
  </si>
  <si>
    <t xml:space="preserve">Akteure können komplexe Vertragskonstrukte umsetzen. Verträge haben einen Status. Diese können "Aktiv", "In Erzeugung" oder "Inaktiv" sein. </t>
  </si>
  <si>
    <t>"Als Manufacturer benötige ich eine korrekte, nutzungsabhängige und automatische Abrechnung der vermieteten Geräte, die regelmäßig aktualisiert wird, sowie der erbrachten Dienstleistungen, um den Umsatz aufrecht zu erhalten."</t>
  </si>
  <si>
    <t>Task M3.2</t>
  </si>
  <si>
    <t>Die Geräte müssen die Verbrauchsdaten an die Platform melden.</t>
  </si>
  <si>
    <t>"Als Customer möchte ich verfügbare Haushaltsgeräte angezeigt bekommen, um das passende Gerät mieten zu können."</t>
  </si>
  <si>
    <t>Task C1.1</t>
  </si>
  <si>
    <t>Task C1.2</t>
  </si>
  <si>
    <t>Es muss eine Auflistung aller verfügbarer (mietbarer) Geräte existieren.</t>
  </si>
  <si>
    <t>Es müssen alle für den Customer relevaten Informationen über das Gerät vorhanden und einsehbar sein.</t>
  </si>
  <si>
    <t>Requirement C2.1.2</t>
  </si>
  <si>
    <t>Es können Passwortregeln hinterlegt werden. Die Einhaltung dieser Regeln wird überprüft.</t>
  </si>
  <si>
    <t>Bei Ausfall einzelner Komponenten gehen keine Daten verloren.</t>
  </si>
  <si>
    <t>Für alle Software-Komponenten existieren hinreichende Tests, die Test-Abdeckung beträgt 80%.</t>
  </si>
  <si>
    <t>Die Plattform kann im Falle eines Crashes alle Daten konsistent halten.</t>
  </si>
  <si>
    <t>Requirement M1.2.2</t>
  </si>
  <si>
    <t>Requirement M1.2.3</t>
  </si>
  <si>
    <t>Ein Fehlerzustand (Leerer Wasserbehälter, geöffnete Abdeckung, etc.) hindert das Gerät am Durchführen seiner Tätigkeit und kann meistens durch den Customer behoben werden.</t>
  </si>
  <si>
    <t>Geräte detektieren eine Wartung (Entkalken, etc.).</t>
  </si>
  <si>
    <t>Das Gerät sendet detektierte Reinigungen / Wartungen nach Abschluss direkt an die Plattform.</t>
  </si>
  <si>
    <t>Customer bezahlen jede verbrauchte Einheit (z.B. pro Tasse Kaffee) des gemieteten Geräts an den Manufacturer. Die genauen Kosten sind vom Gerät abhängig und werden durch den Manufacturer festgelegt.</t>
  </si>
  <si>
    <t>Manufacturer bezahlen Service-Provider für jede erbrachte Service-Leistung. Die Höhe der Zahlung ist im Service-Vertrag geregelt.</t>
  </si>
  <si>
    <t>Manufacturer bezahlen Customer für jede durchgeführte Wartung des vermieteten Geräts. Die Höhe der Zahlung ist im Mietvertrag geregelt.</t>
  </si>
  <si>
    <t>Manufacturer bezahlen Supplier für jede erbrachte Lieferung. Die Höhe der Zahlung ist im Liefervertrag geregelt.</t>
  </si>
  <si>
    <t>Es ist vertraglich festgelegt, welcher Akteur für welche Dienstleistung wie viel Geld bezahlt bzw. erhält.</t>
  </si>
  <si>
    <t>Requirement BD1.2.2</t>
  </si>
  <si>
    <t>Story
SA1
"Modularer Aufbau"</t>
  </si>
  <si>
    <t>Task SA2.2</t>
  </si>
  <si>
    <t>Requirement SA2.2.1</t>
  </si>
  <si>
    <t>Requirement SA2.2.2</t>
  </si>
  <si>
    <t>Story
SA2
"Redundanz"</t>
  </si>
  <si>
    <t>Die Software wird automatisiert durch Skripte installiert und bereitgestellt.</t>
  </si>
  <si>
    <t>Requirement M1.2.4</t>
  </si>
  <si>
    <t>Geräte können Fehlerzustände detektieren. Tritt ein Fehler auf, wird dieser dem Customer über ein Display angezeigt.</t>
  </si>
  <si>
    <t>Detektierte Reinigungen / Wartungen können nicht manipuliert oder dem Gerät vorgespielt werden.</t>
  </si>
  <si>
    <t>Das Gerät kann den Customer indetifizieren.</t>
  </si>
  <si>
    <t>Der Service-Provider kann mit dem Gerät per Smartphone kontaktlos kommunizieren.</t>
  </si>
  <si>
    <t>Es ist nachvollziehbar, wer wann auf die Plattform zugegriffen hat.</t>
  </si>
  <si>
    <t>Das Pay-As-You-Use Abrechnungsmodell muss in einem Vertrag abgebildet werden können.</t>
  </si>
  <si>
    <t>Requirement BD1.2.3</t>
  </si>
  <si>
    <t>Requirement BD1.2.4</t>
  </si>
  <si>
    <t>Story
BD4
"Vertragsgestaltung"</t>
  </si>
  <si>
    <t>"Als Business-Developer möchte ich die Plattform dazu nutzen, künftig andere Vertragsarten umzusetzen, um weitere Geschäftsfelder und Kunden zu gewinnen."</t>
  </si>
  <si>
    <t>Geräte detektieren eine Reinigung (Produktbehälter leeren, etc.).</t>
  </si>
  <si>
    <t>Sonstiges</t>
  </si>
  <si>
    <t>DLT-Relevanz</t>
  </si>
  <si>
    <t>Gerät und Service-Provider können miteinander kommunizieren.</t>
  </si>
  <si>
    <t>DLT muss SC implementieren</t>
  </si>
  <si>
    <t>Berechtigungskonzept in SC</t>
  </si>
  <si>
    <t>SC = rechtskonform?</t>
  </si>
  <si>
    <t>Proxy-SC vorgeschaltet, um Versionierung zuzulassen.</t>
  </si>
  <si>
    <t>Abrechnungsmodell muss in SC abbildbar sein</t>
  </si>
  <si>
    <t>Daten müssen auf der Chain liegen.</t>
  </si>
  <si>
    <t>On-Chain = geloggt</t>
  </si>
  <si>
    <t>Blockchain = tamper-proof</t>
  </si>
  <si>
    <t>Erbrachte Leistungen werden kostenpflichtig verrechnet.</t>
  </si>
  <si>
    <t>Verträge sind individuell gestaltbar.</t>
  </si>
  <si>
    <t>Geräte detektieren den Verbrauch (Kaffeemaschine: Anzahl Kaffees) und senden diesen an die Plattform.</t>
  </si>
  <si>
    <t>Geräte können Defekte detektieren. Tritt ein Fehler auf, wird dieser über die Plattform an den Service-Provider (Service-Vertrag) gemeldet.</t>
  </si>
  <si>
    <t>Nein</t>
  </si>
  <si>
    <t>Ja</t>
  </si>
  <si>
    <t>Inhalt von Tx verschlüsseln?</t>
  </si>
  <si>
    <t>Grundlegende
DLT-Funktion</t>
  </si>
  <si>
    <t>Dezentrales System</t>
  </si>
  <si>
    <t>Grundlegende
DLT-Funktion,
tamper-proof</t>
  </si>
  <si>
    <t>Kommentar</t>
  </si>
  <si>
    <t>Akteure können nur den Inhalt ihrer eigenen Nachrichten einsehen.</t>
  </si>
  <si>
    <t>Ein Defekt (Defektes Mahlwerk, undichte Anschlüsse, etc.) hindert das Gerät am Durchführen seiner Tätigkeit und muss durch einen Service-Provider behoben werden.</t>
  </si>
  <si>
    <t>Das Gerät sendet detektierte Reinigungen / Wartungen an die Plattform.</t>
  </si>
  <si>
    <t>DLT-Relevanz
Wenn ich diese Anforderung mit DLT umsetze, dann hat dies Auswirkung auf meine DLT-Lösung?</t>
  </si>
  <si>
    <t>Umsetzung</t>
  </si>
  <si>
    <t>Oracle</t>
  </si>
  <si>
    <t>Encryption</t>
  </si>
  <si>
    <t>Smart-Contract</t>
  </si>
  <si>
    <t>Coin / Token</t>
  </si>
  <si>
    <t>Performance</t>
  </si>
  <si>
    <t>Zuordnung Key &lt;&gt; Person?</t>
  </si>
  <si>
    <t>Welche Akteur hat welche Rolle?</t>
  </si>
  <si>
    <t>Wer verifiziert die Rollen?</t>
  </si>
  <si>
    <t>Gibt es eine DLT, die keine Abrechnung (Token, Coin, etc.) besitzt?</t>
  </si>
  <si>
    <t>Komplexe Konstrukte</t>
  </si>
  <si>
    <t>Der Vertragsgegenstand kann nicht durch Dritte manipuliert werden.</t>
  </si>
  <si>
    <t>Bei Nicht-Ausführung von Geld- und Nachrichtentransfers werden die Parteien benachrichtigt.</t>
  </si>
  <si>
    <t>Requirement A1.3.11</t>
  </si>
  <si>
    <t>Eine Vertragsänderung bedarf der Zustimmung aller beteiligten Akteure.</t>
  </si>
  <si>
    <t>Requirement BD1.2.5</t>
  </si>
  <si>
    <t>Ein Abrechnungsmodell wird in einem Vertrag abgebildet.</t>
  </si>
  <si>
    <t>Die Plattform ist in der Lage, die Kommunikation und Datenverarbeitung bei bis zu 10.000 Endgeräten durchzuführen.</t>
  </si>
  <si>
    <t xml:space="preserve">3 Tassen Kaffe / Tag (9h = 32.400s) / Mitarbeiter
40 Mitarbeiter pro Maschine
10.000 Maschinen
3*40*10.000=1.200.000 Tassen Kaffe / Tag
1.200.000 / 32.400 = 37 Tassen / Sekunde </t>
  </si>
  <si>
    <t>Geräte  senden den Verbrauch nach Fertigstellung des Produktes sofort an die Plattform.</t>
  </si>
  <si>
    <t>Die Kommunikation der beteiligten Akteure wird sofort übermittelt.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</si>
</sst>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8"/>
      <name val="Calibri"/>
      <family val="2"/>
      <scheme val="minor"/>
    </font>
    <font>
      <u/>
      <sz val="11"/>
      <color theme="10"/>
      <name val="Calibri"/>
      <family val="2"/>
      <scheme val="minor"/>
    </font>
    <font>
      <sz val="11"/>
      <name val="Calibri"/>
      <family val="2"/>
      <scheme val="minor"/>
    </font>
  </fonts>
  <fills count="4">
    <fill>
      <patternFill patternType="none"/>
    </fill>
    <fill>
      <patternFill patternType="gray125"/>
    </fill>
    <fill>
      <patternFill patternType="solid">
        <fgColor rgb="FFFFFFFF"/>
        <bgColor indexed="64"/>
      </patternFill>
    </fill>
    <fill>
      <patternFill patternType="solid">
        <fgColor rgb="FFC8C8C8"/>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67">
    <xf numFmtId="0" fontId="0" fillId="0" borderId="0" xfId="0"/>
    <xf numFmtId="0" fontId="0" fillId="0" borderId="0" xfId="0" applyFont="1" applyAlignment="1">
      <alignment horizontal="center" vertical="center"/>
    </xf>
    <xf numFmtId="0" fontId="0" fillId="0" borderId="0" xfId="0" applyAlignment="1">
      <alignment horizontal="center" vertical="center"/>
    </xf>
    <xf numFmtId="0" fontId="1" fillId="0" borderId="0"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xf numFmtId="0" fontId="0" fillId="0" borderId="0" xfId="0" applyFill="1" applyAlignment="1">
      <alignment vertical="center"/>
    </xf>
    <xf numFmtId="0" fontId="3" fillId="0" borderId="0" xfId="1"/>
    <xf numFmtId="0" fontId="0" fillId="3" borderId="1" xfId="0" applyFill="1" applyBorder="1" applyAlignment="1">
      <alignment horizontal="center" vertical="center" wrapText="1"/>
    </xf>
    <xf numFmtId="0" fontId="0" fillId="0" borderId="0" xfId="0" applyAlignment="1">
      <alignment horizontal="center" vertical="center"/>
    </xf>
    <xf numFmtId="0" fontId="1" fillId="0" borderId="0" xfId="0" applyFont="1" applyAlignment="1">
      <alignment horizontal="center" vertical="center"/>
    </xf>
    <xf numFmtId="0" fontId="4" fillId="0" borderId="1" xfId="0" applyFont="1" applyFill="1" applyBorder="1" applyAlignment="1">
      <alignment horizontal="center" vertical="center" wrapText="1"/>
    </xf>
    <xf numFmtId="0" fontId="1" fillId="0" borderId="1"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1" xfId="0" applyFont="1" applyBorder="1" applyAlignment="1">
      <alignment horizontal="center" vertical="center"/>
    </xf>
    <xf numFmtId="0" fontId="0" fillId="0" borderId="1" xfId="0" applyBorder="1" applyAlignment="1">
      <alignment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Font="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Font="1" applyBorder="1" applyAlignment="1">
      <alignment horizontal="center" vertical="center" wrapText="1"/>
    </xf>
    <xf numFmtId="0" fontId="0" fillId="0" borderId="0" xfId="0" applyAlignment="1">
      <alignment horizontal="center" vertical="center" wrapText="1"/>
    </xf>
    <xf numFmtId="0" fontId="1" fillId="0" borderId="2" xfId="0" applyFont="1" applyBorder="1" applyAlignment="1">
      <alignment horizontal="center" vertical="center" wrapText="1"/>
    </xf>
    <xf numFmtId="0" fontId="0" fillId="0" borderId="2" xfId="0" applyBorder="1" applyAlignment="1">
      <alignment horizontal="center" vertical="center" wrapText="1"/>
    </xf>
    <xf numFmtId="0" fontId="0" fillId="2" borderId="2" xfId="0" applyFill="1" applyBorder="1" applyAlignment="1">
      <alignment horizontal="center" vertical="center" wrapText="1"/>
    </xf>
    <xf numFmtId="0" fontId="1" fillId="0" borderId="3" xfId="0" applyFont="1" applyBorder="1" applyAlignment="1">
      <alignment horizontal="center" vertical="center" wrapText="1"/>
    </xf>
    <xf numFmtId="0" fontId="0" fillId="0" borderId="3" xfId="0" applyBorder="1" applyAlignment="1">
      <alignment horizontal="center" vertical="center" wrapText="1"/>
    </xf>
    <xf numFmtId="0" fontId="0" fillId="2" borderId="3" xfId="0" applyFill="1" applyBorder="1" applyAlignment="1">
      <alignment horizontal="center" vertical="center" wrapText="1"/>
    </xf>
    <xf numFmtId="0" fontId="0" fillId="0" borderId="4" xfId="0" applyBorder="1" applyAlignment="1">
      <alignment horizontal="center" vertical="center"/>
    </xf>
    <xf numFmtId="0" fontId="0" fillId="0" borderId="4" xfId="0" applyFill="1" applyBorder="1" applyAlignment="1">
      <alignment horizontal="center" vertical="center" wrapText="1"/>
    </xf>
    <xf numFmtId="0" fontId="0" fillId="3" borderId="4" xfId="0" applyFill="1" applyBorder="1" applyAlignment="1">
      <alignment horizontal="center" vertical="center" wrapText="1"/>
    </xf>
    <xf numFmtId="0" fontId="0" fillId="0" borderId="4" xfId="0" applyBorder="1" applyAlignment="1">
      <alignment horizontal="center"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vertical="center"/>
    </xf>
    <xf numFmtId="0" fontId="0" fillId="2" borderId="4" xfId="0" applyFill="1" applyBorder="1" applyAlignment="1">
      <alignment horizontal="center" vertical="center"/>
    </xf>
    <xf numFmtId="0" fontId="4" fillId="0"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Border="1" applyAlignment="1">
      <alignment horizontal="center" vertical="center"/>
    </xf>
    <xf numFmtId="0" fontId="0" fillId="2" borderId="1" xfId="0" applyFill="1" applyBorder="1" applyAlignment="1">
      <alignment horizontal="center" vertical="center"/>
    </xf>
    <xf numFmtId="0" fontId="0" fillId="0" borderId="4" xfId="0" applyFont="1" applyFill="1" applyBorder="1" applyAlignment="1">
      <alignment horizontal="center" vertical="center"/>
    </xf>
    <xf numFmtId="0" fontId="0" fillId="0" borderId="1" xfId="0" applyBorder="1" applyAlignment="1">
      <alignment horizontal="center" vertical="center" wrapText="1"/>
    </xf>
    <xf numFmtId="0" fontId="0" fillId="0" borderId="4" xfId="0"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horizontal="center" vertical="center"/>
    </xf>
    <xf numFmtId="0" fontId="0" fillId="2" borderId="4" xfId="0" applyFill="1" applyBorder="1" applyAlignment="1">
      <alignment horizontal="center" vertical="center"/>
    </xf>
    <xf numFmtId="0" fontId="0" fillId="2" borderId="1" xfId="0" applyFill="1" applyBorder="1" applyAlignment="1">
      <alignment horizontal="center" vertical="center"/>
    </xf>
    <xf numFmtId="0" fontId="0" fillId="2" borderId="4" xfId="0" applyFill="1" applyBorder="1" applyAlignment="1">
      <alignment horizontal="center" vertical="center" wrapText="1"/>
    </xf>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Font="1" applyBorder="1" applyAlignment="1">
      <alignment horizontal="center" vertical="center" wrapText="1"/>
    </xf>
    <xf numFmtId="0" fontId="0" fillId="0" borderId="4" xfId="0" applyFont="1" applyBorder="1" applyAlignment="1">
      <alignment horizontal="center" vertical="center" wrapText="1"/>
    </xf>
  </cellXfs>
  <cellStyles count="2">
    <cellStyle name="Link" xfId="1" builtinId="8"/>
    <cellStyle name="Standard" xfId="0" builtinId="0"/>
  </cellStyles>
  <dxfs count="44">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ill>
        <patternFill>
          <bgColor theme="5"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ill>
        <patternFill>
          <bgColor theme="5"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Sebastian Kanz" id="{BEA41085-816A-4612-A2BD-A3E4321902B2}" userId="S::sebastian.kanz@maibornwolff.de::114b64f1-0b13-4d93-96eb-5adf208132b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458998B-6AA0-4616-B19E-D98E621EE428}" name="System" displayName="System" ref="B1:B6" totalsRowShown="0" headerRowDxfId="35" dataDxfId="34">
  <autoFilter ref="B1:B6" xr:uid="{C13B98F7-7848-4653-A5F7-B08E116B309F}"/>
  <tableColumns count="1">
    <tableColumn id="1" xr3:uid="{7D1EE4CA-D15B-4A27-8878-7255E593F87F}" name="System"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DF1282-568C-41EA-8882-3A07507EB560}" name="Software" displayName="Software" ref="C1:C4" totalsRowShown="0" headerRowDxfId="32" dataDxfId="31">
  <autoFilter ref="C1:C4" xr:uid="{68A92581-E734-49F7-990B-7CC9D0CADDA1}"/>
  <tableColumns count="1">
    <tableColumn id="1" xr3:uid="{A4ABF9CE-6770-41FF-972F-FCC1CBD78C07}" name="Software" dataDxfId="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89F915-1DEB-4F37-829C-F37A7B3A98F2}" name="Level1" displayName="Level1" ref="A1:A3" totalsRowShown="0" headerRowDxfId="29" dataDxfId="28">
  <autoFilter ref="A1:A3" xr:uid="{A529F6ED-4439-4948-A661-8A9E5524C3DC}"/>
  <tableColumns count="1">
    <tableColumn id="1" xr3:uid="{91B7B8D1-6534-4798-AA2B-6ECCACFD9962}" name="Level-1"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158376-9956-4A5C-9C30-54EE51B59D3C}" name="NonFunctional" displayName="NonFunctional" ref="D1:D9" totalsRowShown="0" headerRowDxfId="26" dataDxfId="25">
  <autoFilter ref="D1:D9" xr:uid="{9D6A7DDB-E62A-4D47-AFE6-D3871AAA4D9E}"/>
  <tableColumns count="1">
    <tableColumn id="1" xr3:uid="{C7ECB20C-6B08-4F12-8C96-2AA4F94E47D6}" name="NonFunctional"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9BA3C6-D188-41CE-8ED2-DF9DD991A2F4}" name="FunctionalitySuitability" displayName="FunctionalitySuitability" ref="E1:E4" totalsRowShown="0" headerRowDxfId="23" dataDxfId="22">
  <autoFilter ref="E1:E4" xr:uid="{E77B858A-3D9B-467F-B65B-F57C00DECD26}"/>
  <tableColumns count="1">
    <tableColumn id="1" xr3:uid="{2C34C088-37D4-4FF7-8935-B15983AF0C4F}" name="FunctionalitySuitability"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C1DA40-BDAD-4771-B870-DEEC57809FAC}" name="PerformanceEfficiency" displayName="PerformanceEfficiency" ref="F1:F4" totalsRowShown="0" headerRowDxfId="20" dataDxfId="19">
  <autoFilter ref="F1:F4" xr:uid="{F64E92E4-0B04-4AC4-BD75-18E759D960C2}"/>
  <tableColumns count="1">
    <tableColumn id="1" xr3:uid="{9F83357B-1579-483F-9F22-8686B7AB5D70}" name="PerformanceEfficiency"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F3F234-9133-4DED-A49D-A32C766CD828}" name="Compatibility" displayName="Compatibility" ref="G1:G3" totalsRowShown="0" headerRowDxfId="17" dataDxfId="16">
  <autoFilter ref="G1:G3" xr:uid="{9738CED5-F43D-4369-A5C6-C4D694B77BBB}"/>
  <tableColumns count="1">
    <tableColumn id="1" xr3:uid="{A51FAC32-EF78-4E39-959D-23F34E18C498}" name="Compatibility"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0E3DCC2-E227-439C-9B38-981151A51253}" name="Usability" displayName="Usability" ref="H1:H6" totalsRowShown="0" headerRowDxfId="14" dataDxfId="13">
  <autoFilter ref="H1:H6" xr:uid="{E01A18DA-C15B-4881-BDF6-05B550D93853}"/>
  <tableColumns count="1">
    <tableColumn id="1" xr3:uid="{5BA25EEF-E2BA-4992-887B-ECD6E22B8BB2}" name="Usability" dataDxfId="1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9A2137-F95A-4DC5-81E4-49BB16B15039}" name="Reliability" displayName="Reliability" ref="I1:I5" totalsRowShown="0" headerRowDxfId="11" dataDxfId="10">
  <autoFilter ref="I1:I5" xr:uid="{8D198217-9E4B-40AF-AD6A-CDA501988609}"/>
  <tableColumns count="1">
    <tableColumn id="1" xr3:uid="{1D40B572-C08B-4629-9970-6FFD78784DFD}" name="Reliability"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85CED3B-77F4-498D-860C-0DA1BB8C454A}" name="Security" displayName="Security" ref="J1:J6" totalsRowShown="0" headerRowDxfId="8" dataDxfId="7">
  <autoFilter ref="J1:J6" xr:uid="{B7DA28FB-DD14-4832-BE6A-3E327ECFCF7D}"/>
  <tableColumns count="1">
    <tableColumn id="1" xr3:uid="{6F61ABAB-73F9-4BC5-9DD8-5DFE1A6F9E17}" name="Security" dataDxfId="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78699E4-5382-4D39-9088-8A31BC371793}" name="Maintainability" displayName="Maintainability" ref="K1:K6" totalsRowShown="0" headerRowDxfId="5" dataDxfId="4">
  <autoFilter ref="K1:K6" xr:uid="{F2273195-C41F-47B0-A327-E77A6299BFC6}"/>
  <tableColumns count="1">
    <tableColumn id="1" xr3:uid="{07F59029-C9FC-421B-833C-CE42E47E5892}" name="Maintainability" dataDxfId="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0C1E6E4-8CF1-411B-85D6-E2BDA14541F5}" name="Portability" displayName="Portability" ref="L1:L4" totalsRowShown="0" headerRowDxfId="2" dataDxfId="1">
  <autoFilter ref="L1:L4" xr:uid="{2030E79D-131D-4474-B8F4-D005C520FA62}"/>
  <tableColumns count="1">
    <tableColumn id="1" xr3:uid="{131BFC73-275F-499E-9CB1-925DC3289401}" name="Portability" data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1-14T14:32:49.20" personId="{BEA41085-816A-4612-A2BD-A3E4321902B2}" id="{FE48567C-4C2D-4C85-AB6C-F5F332BAEB49}">
    <text>captures any condition or criteria needed to validate the successful completion of a project  deliverable or fulfillment of other project requirements.</text>
  </threadedComment>
  <threadedComment ref="E2" dT="2019-11-14T14:23:40.43" personId="{BEA41085-816A-4612-A2BD-A3E4321902B2}" id="{546B125C-1C4F-42A1-BAA4-77ADAD7A6AF2}">
    <text>degree to which the set of functions covers all the specified tasks and user objectives.</text>
  </threadedComment>
  <threadedComment ref="F2" dT="2019-11-14T14:24:15.46" personId="{BEA41085-816A-4612-A2BD-A3E4321902B2}" id="{EFD15302-96B0-4559-88FB-962157B0C5E5}">
    <text>degree to which the response and processing times and throughput rates of a product or system, when performing its functions, meet requirements.</text>
  </threadedComment>
  <threadedComment ref="G2" dT="2019-11-14T14:28:47.10" personId="{BEA41085-816A-4612-A2BD-A3E4321902B2}" id="{A582FAD4-8F80-4838-B8AD-BAB3442429DF}">
    <text>degree to which a product can perform its required functions efficiently while sharing a common environment and resources with other products, without detrimental impact on any other product.</text>
  </threadedComment>
  <threadedComment ref="H2" dT="2019-11-14T14:24:54.10" personId="{BEA41085-816A-4612-A2BD-A3E4321902B2}" id="{0DD66A46-05F3-4DD8-AC4C-A3FEDCC0CBCD}">
    <text>degree to which users can recognize whether a product or system is appropriate for their needs.</text>
  </threadedComment>
  <threadedComment ref="I2" dT="2019-11-14T14:26:16.56" personId="{BEA41085-816A-4612-A2BD-A3E4321902B2}" id="{116D18FC-65EB-4A8C-BEB7-558E466D8EF6}">
    <text>degree to which a system, product or component meets needs for reliability under normal operation.</text>
  </threadedComment>
  <threadedComment ref="J2" dT="2019-11-14T14:26:47.23" personId="{BEA41085-816A-4612-A2BD-A3E4321902B2}" id="{3ECE70EC-41FB-4625-A58D-BD6BD4E036C9}">
    <text>degree to which the prototype ensures that data are accessible only to those authorized to have access.</text>
  </threadedComment>
  <threadedComment ref="K2" dT="2019-11-14T14:27:24.53" personId="{BEA41085-816A-4612-A2BD-A3E4321902B2}" id="{85D8B2BA-0A51-42E2-8C11-58F0F422F690}">
    <text>degree to which a system or computer program is composed of discrete components such that a change to one component has minimal impact on other components.</text>
  </threadedComment>
  <threadedComment ref="L2" dT="2019-11-14T14:28:20.26" personId="{BEA41085-816A-4612-A2BD-A3E4321902B2}" id="{A3724B36-0224-4AF1-AF73-863F1357D370}">
    <text>degree to which a product or system can effectively and efficiently be adapted for different or evolving hardware, software or other operational or usage environments.</text>
  </threadedComment>
  <threadedComment ref="B3" dT="2019-11-14T14:32:21.76" personId="{BEA41085-816A-4612-A2BD-A3E4321902B2}" id="{7CE5B636-E0AF-499D-873D-1F408CAA98D8}">
    <text>describes the actions, processes, or other conditions the project needs to meet.</text>
  </threadedComment>
  <threadedComment ref="E3" dT="2019-11-14T14:23:50.38" personId="{BEA41085-816A-4612-A2BD-A3E4321902B2}" id="{D0935EA4-071C-4679-B3BF-29CFB1B14470}">
    <text>degree to which the functions provides the correct results with the needed degree of precision.</text>
  </threadedComment>
  <threadedComment ref="F3" dT="2019-11-14T14:24:25.11" personId="{BEA41085-816A-4612-A2BD-A3E4321902B2}" id="{746C4272-A59B-48D6-834C-4656693CBD7A}">
    <text>degree to which the amounts and types of resources used by a product or system, when performing its functions, meet requirements.</text>
  </threadedComment>
  <threadedComment ref="G3" dT="2019-11-14T14:28:56.68" personId="{BEA41085-816A-4612-A2BD-A3E4321902B2}" id="{1B96A1A4-2173-4DDC-B483-795908B24F97}">
    <text>degree to which two or more systems, products or components can exchange information and use the information that has been exchanged.</text>
  </threadedComment>
  <threadedComment ref="H3" dT="2019-11-14T14:25:04.34" personId="{BEA41085-816A-4612-A2BD-A3E4321902B2}" id="{5878DFE3-38FC-46FA-8B10-3563EBEF10C5}">
    <text>degree to which a product or system enables the user to learn how to use it with effectiveness, efficiency in emergency situations.</text>
  </threadedComment>
  <threadedComment ref="I3" dT="2019-11-14T14:26:23.85" personId="{BEA41085-816A-4612-A2BD-A3E4321902B2}" id="{790C0D45-4FCC-4148-B322-07B06F91AA1A}">
    <text>degree to which a product or system is operational and accessible when required for use.</text>
  </threadedComment>
  <threadedComment ref="J3" dT="2019-11-14T14:26:54.02" personId="{BEA41085-816A-4612-A2BD-A3E4321902B2}" id="{F6B6CF07-05F6-47BB-B82B-C67E80977C6F}">
    <text>degree to which a system, product or component prevents unauthorized access to, or modification of, computer programs or data.</text>
  </threadedComment>
  <threadedComment ref="K3" dT="2019-11-14T14:27:31.31" personId="{BEA41085-816A-4612-A2BD-A3E4321902B2}" id="{EE5F581D-3968-4671-ACD7-9BD2B6ED44E6}">
    <text>degree to which an asset can be used in more than one system, or in building other assets.</text>
  </threadedComment>
  <threadedComment ref="L3" dT="2019-11-14T14:28:31.40" personId="{BEA41085-816A-4612-A2BD-A3E4321902B2}" id="{42B56D89-09C4-427F-A3A8-7622C2173E4D}">
    <text>degree of effectiveness and efficiency in which a product or system can be successfully installed and/or uninstalled in a specified environment.</text>
  </threadedComment>
  <threadedComment ref="B4" dT="2019-11-14T14:33:45.89" personId="{BEA41085-816A-4612-A2BD-A3E4321902B2}" id="{1539A302-A867-4153-A156-71363699C926}">
    <text>describes the higher-level needs of the organization as a whole, such as the business issues or opportunities, and reasons why a project has been undertaken.</text>
  </threadedComment>
  <threadedComment ref="C4" dT="2019-11-14T15:52:50.13" personId="{BEA41085-816A-4612-A2BD-A3E4321902B2}" id="{298FD523-349F-436E-845C-8CB9EE669485}">
    <text>is
essentially a constraint on the development of the software</text>
  </threadedComment>
  <threadedComment ref="E4" dT="2019-11-14T14:24:00.45" personId="{BEA41085-816A-4612-A2BD-A3E4321902B2}" id="{70748A68-2148-400B-AEDA-40BCD9FF4F9E}">
    <text>degree to which the functions facilitate the accomplishment of specified tasks and objectives.</text>
  </threadedComment>
  <threadedComment ref="F4" dT="2019-11-14T14:24:36.62" personId="{BEA41085-816A-4612-A2BD-A3E4321902B2}" id="{E86D1097-BDAF-44C1-9E03-532330E7C4B9}">
    <text>degree to which the maximum limits of the product or system, parameter meet requirements.</text>
  </threadedComment>
  <threadedComment ref="H4" dT="2019-11-14T14:25:10.49" personId="{BEA41085-816A-4612-A2BD-A3E4321902B2}" id="{7BEBA469-E5C8-4B06-ADBB-30FED1DE2C6D}">
    <text>degree to which a product or system is easy to operate, control and appropriate to use.</text>
  </threadedComment>
  <threadedComment ref="I4" dT="2019-11-14T14:26:30.66" personId="{BEA41085-816A-4612-A2BD-A3E4321902B2}" id="{0AB91D9D-B550-431A-9C55-5F92A0990DEC}">
    <text>degree to which a system, product or component operates as intended despite the presence of hardware or software faults.</text>
  </threadedComment>
  <threadedComment ref="J4" dT="2019-11-14T14:26:59.44" personId="{BEA41085-816A-4612-A2BD-A3E4321902B2}" id="{40AE5847-3C18-4511-88B2-44E278452F6A}">
    <text>degree to which actions or events can be proven to have taken place, so that the events or actions cannot be repudiated later.</text>
  </threadedComment>
  <threadedComment ref="K4" dT="2019-11-14T14:27:41.61" personId="{BEA41085-816A-4612-A2BD-A3E4321902B2}" id="{8E918B05-7032-4AD3-AE1E-FF2B53FDF7B5}">
    <text>degree of effectiveness and efficiency with which it is possible to assess the impact on a product or system of an intended change to one or more of its parts, or to diagnose a product for deficiencies or causes of failures, or to identify parts to be modified.</text>
  </threadedComment>
  <threadedComment ref="L4" dT="2019-11-14T14:28:37.66" personId="{BEA41085-816A-4612-A2BD-A3E4321902B2}" id="{E96E37F3-6EEB-42D9-8C49-66C4120D1E19}">
    <text>degree to which a product can replace another specified software product for the same purpose in the same environment.</text>
  </threadedComment>
  <threadedComment ref="B5" dT="2019-11-14T14:33:27.69" personId="{BEA41085-816A-4612-A2BD-A3E4321902B2}" id="{44DCF6EF-C659-4D92-9CE9-3819B31F1BBB}">
    <text>describes needs of a stakeholder or stakeholder group.</text>
  </threadedComment>
  <threadedComment ref="H5" dT="2019-11-14T14:25:33.60" personId="{BEA41085-816A-4612-A2BD-A3E4321902B2}" id="{B13FC58A-3651-4A80-900A-F0E83A39506C}">
    <text>degree to which a user interface enables pleasing and satisfying interaction for the user.</text>
  </threadedComment>
  <threadedComment ref="I5" dT="2019-11-14T14:26:38.91" personId="{BEA41085-816A-4612-A2BD-A3E4321902B2}" id="{C83D61D4-442C-4275-B853-299D54F1DF6E}">
    <text>degree to which, in the event of an interruption or a failure, a product or system can recover the data directly affected and re-establish the desired state of the system.</text>
  </threadedComment>
  <threadedComment ref="J5" dT="2019-11-14T14:27:05.53" personId="{BEA41085-816A-4612-A2BD-A3E4321902B2}" id="{216951EC-912A-4D7E-80AB-3AB895D83564}">
    <text>degree to which the actions of an entity can be traced uniquely to the entity.</text>
  </threadedComment>
  <threadedComment ref="K5" dT="2019-11-14T14:27:48.91" personId="{BEA41085-816A-4612-A2BD-A3E4321902B2}" id="{2F186C60-0A74-4E53-8B8C-76D79C5DA9F2}">
    <text>degree to which a product or system can be effectively and efficiently modified without introducing defects or degrading existing product quality.</text>
  </threadedComment>
  <threadedComment ref="B6" dT="2019-11-14T14:33:03.35" personId="{BEA41085-816A-4612-A2BD-A3E4321902B2}" id="{A33EB849-A3BC-424D-8B91-C1F5E4F09718}">
    <text>describes temporary capabilities, such as data conversion and training requirements, needed to transition from the current “as-is” state to the future “to-be” state.</text>
  </threadedComment>
  <threadedComment ref="H6" dT="2019-11-14T14:25:24.94" personId="{BEA41085-816A-4612-A2BD-A3E4321902B2}" id="{4259902A-2AF0-4138-96B8-C2071735D6F4}">
    <text>degree to which a product or system can be used by people with the widest range of characteristics and capabilities to achieve a specified goal in a specified context of use.</text>
  </threadedComment>
  <threadedComment ref="J6" dT="2019-11-14T14:27:14.19" personId="{BEA41085-816A-4612-A2BD-A3E4321902B2}" id="{D00104D5-8419-4637-A869-6900872014CA}">
    <text>degree to which the identity of a subject or resource can be proved to be the one claimed.</text>
  </threadedComment>
  <threadedComment ref="K6" dT="2019-11-14T14:27:58.65" personId="{BEA41085-816A-4612-A2BD-A3E4321902B2}" id="{D7EB2023-B72B-43DC-ACA4-9821DDD1252F}">
    <text>degree of effectiveness and efficiency with which test criteria can be established for a system, product or component and tests can be performed to determine whether those criteria have been met.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6" Type="http://schemas.microsoft.com/office/2017/10/relationships/threadedComment" Target="../threadedComments/threadedComment1.xml"/><Relationship Id="rId1" Type="http://schemas.openxmlformats.org/officeDocument/2006/relationships/hyperlink" Target="https://www.codacy.com/blog/iso-25010-software-quality-model/" TargetMode="Externa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comments" Target="../comments1.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8857E-8CF5-4A15-965C-0F2E160570A4}">
  <sheetPr codeName="Tabelle1">
    <pageSetUpPr fitToPage="1"/>
  </sheetPr>
  <dimension ref="A1:O86"/>
  <sheetViews>
    <sheetView tabSelected="1" zoomScale="80" zoomScaleNormal="80" workbookViewId="0">
      <pane ySplit="1" topLeftCell="A2" activePane="bottomLeft" state="frozen"/>
      <selection pane="bottomLeft" activeCell="E3" sqref="E3"/>
    </sheetView>
  </sheetViews>
  <sheetFormatPr baseColWidth="10" defaultRowHeight="60" customHeight="1" x14ac:dyDescent="0.3"/>
  <cols>
    <col min="1" max="1" width="32.109375" style="2" customWidth="1"/>
    <col min="2" max="2" width="23.109375" style="2" customWidth="1"/>
    <col min="3" max="3" width="11.5546875" style="2"/>
    <col min="4" max="4" width="34.6640625" style="2" customWidth="1"/>
    <col min="5" max="5" width="23.109375" style="2" customWidth="1"/>
    <col min="6" max="6" width="74" style="8" customWidth="1"/>
    <col min="7" max="7" width="22.21875" style="5" customWidth="1"/>
    <col min="8" max="9" width="22.21875" style="2" customWidth="1"/>
    <col min="10" max="10" width="22.5546875" style="2" customWidth="1"/>
    <col min="11" max="11" width="33.44140625" style="2" hidden="1" customWidth="1"/>
    <col min="12" max="12" width="33.44140625" style="13" hidden="1" customWidth="1"/>
    <col min="13" max="13" width="26.109375" style="5" hidden="1" customWidth="1"/>
    <col min="14" max="14" width="22.21875" style="53" hidden="1" customWidth="1"/>
    <col min="15" max="15" width="11.5546875" style="2" hidden="1" customWidth="1"/>
    <col min="16" max="16384" width="11.5546875" style="2"/>
  </cols>
  <sheetData>
    <row r="1" spans="1:15" ht="60" customHeight="1" x14ac:dyDescent="0.3">
      <c r="A1" s="16" t="s">
        <v>36</v>
      </c>
      <c r="B1" s="16" t="s">
        <v>37</v>
      </c>
      <c r="C1" s="16" t="s">
        <v>0</v>
      </c>
      <c r="D1" s="16" t="s">
        <v>37</v>
      </c>
      <c r="E1" s="16" t="s">
        <v>38</v>
      </c>
      <c r="F1" s="17" t="s">
        <v>37</v>
      </c>
      <c r="G1" s="41" t="s">
        <v>56</v>
      </c>
      <c r="H1" s="38" t="s">
        <v>57</v>
      </c>
      <c r="I1" s="16" t="s">
        <v>53</v>
      </c>
      <c r="J1" s="17" t="s">
        <v>129</v>
      </c>
      <c r="K1" s="17" t="s">
        <v>251</v>
      </c>
      <c r="L1" s="17" t="s">
        <v>363</v>
      </c>
      <c r="M1" s="17" t="s">
        <v>383</v>
      </c>
      <c r="N1" s="17" t="s">
        <v>388</v>
      </c>
    </row>
    <row r="2" spans="1:15" s="13" customFormat="1" ht="60" customHeight="1" x14ac:dyDescent="0.3">
      <c r="A2" s="65" t="s">
        <v>205</v>
      </c>
      <c r="B2" s="65" t="s">
        <v>244</v>
      </c>
      <c r="C2" s="58" t="s">
        <v>201</v>
      </c>
      <c r="D2" s="56" t="s">
        <v>39</v>
      </c>
      <c r="E2" s="28" t="s">
        <v>209</v>
      </c>
      <c r="F2" s="32" t="s">
        <v>263</v>
      </c>
      <c r="G2" s="42" t="s">
        <v>47</v>
      </c>
      <c r="H2" s="39" t="s">
        <v>97</v>
      </c>
      <c r="I2" s="30" t="s">
        <v>62</v>
      </c>
      <c r="J2" s="30" t="s">
        <v>117</v>
      </c>
      <c r="K2" s="18" t="s">
        <v>312</v>
      </c>
      <c r="L2" s="18" t="s">
        <v>378</v>
      </c>
      <c r="M2" s="31" t="s">
        <v>394</v>
      </c>
      <c r="N2" s="35" t="s">
        <v>389</v>
      </c>
      <c r="O2" s="37" t="s">
        <v>387</v>
      </c>
    </row>
    <row r="3" spans="1:15" s="13" customFormat="1" ht="60" customHeight="1" x14ac:dyDescent="0.3">
      <c r="A3" s="66"/>
      <c r="B3" s="66"/>
      <c r="C3" s="59"/>
      <c r="D3" s="57"/>
      <c r="E3" s="44" t="s">
        <v>210</v>
      </c>
      <c r="F3" s="45" t="s">
        <v>291</v>
      </c>
      <c r="G3" s="22" t="s">
        <v>47</v>
      </c>
      <c r="H3" s="22" t="s">
        <v>54</v>
      </c>
      <c r="I3" s="46"/>
      <c r="J3" s="46"/>
      <c r="K3" s="44" t="s">
        <v>254</v>
      </c>
      <c r="L3" s="44" t="s">
        <v>377</v>
      </c>
      <c r="M3" s="28"/>
      <c r="N3" s="35"/>
    </row>
    <row r="4" spans="1:15" s="13" customFormat="1" ht="60" customHeight="1" x14ac:dyDescent="0.3">
      <c r="A4" s="65"/>
      <c r="B4" s="65"/>
      <c r="C4" s="58"/>
      <c r="D4" s="56"/>
      <c r="E4" s="23" t="s">
        <v>211</v>
      </c>
      <c r="F4" s="24" t="s">
        <v>258</v>
      </c>
      <c r="G4" s="22" t="s">
        <v>47</v>
      </c>
      <c r="H4" s="22" t="s">
        <v>54</v>
      </c>
      <c r="I4" s="12"/>
      <c r="J4" s="12"/>
      <c r="K4" s="23" t="s">
        <v>254</v>
      </c>
      <c r="L4" s="28" t="s">
        <v>378</v>
      </c>
      <c r="M4" s="31" t="s">
        <v>395</v>
      </c>
      <c r="N4" s="35" t="s">
        <v>389</v>
      </c>
    </row>
    <row r="5" spans="1:15" s="13" customFormat="1" ht="60" customHeight="1" x14ac:dyDescent="0.3">
      <c r="A5" s="65"/>
      <c r="B5" s="65"/>
      <c r="C5" s="58"/>
      <c r="D5" s="56"/>
      <c r="E5" s="23" t="s">
        <v>212</v>
      </c>
      <c r="F5" s="24" t="s">
        <v>264</v>
      </c>
      <c r="G5" s="22" t="s">
        <v>47</v>
      </c>
      <c r="H5" s="22" t="s">
        <v>54</v>
      </c>
      <c r="I5" s="12"/>
      <c r="J5" s="12"/>
      <c r="K5" s="23" t="s">
        <v>245</v>
      </c>
      <c r="L5" s="28" t="s">
        <v>377</v>
      </c>
      <c r="M5" s="28"/>
      <c r="N5" s="34"/>
    </row>
    <row r="6" spans="1:15" s="13" customFormat="1" ht="60" customHeight="1" x14ac:dyDescent="0.3">
      <c r="A6" s="65"/>
      <c r="B6" s="65"/>
      <c r="C6" s="58"/>
      <c r="D6" s="56"/>
      <c r="E6" s="23" t="s">
        <v>213</v>
      </c>
      <c r="F6" s="24" t="s">
        <v>265</v>
      </c>
      <c r="G6" s="22" t="s">
        <v>47</v>
      </c>
      <c r="H6" s="22" t="s">
        <v>54</v>
      </c>
      <c r="I6" s="12"/>
      <c r="J6" s="12"/>
      <c r="K6" s="23" t="s">
        <v>254</v>
      </c>
      <c r="L6" s="28" t="s">
        <v>378</v>
      </c>
      <c r="M6" s="31" t="s">
        <v>396</v>
      </c>
      <c r="N6" s="36" t="s">
        <v>389</v>
      </c>
    </row>
    <row r="7" spans="1:15" s="13" customFormat="1" ht="60" customHeight="1" x14ac:dyDescent="0.3">
      <c r="A7" s="65"/>
      <c r="B7" s="65"/>
      <c r="C7" s="58" t="s">
        <v>202</v>
      </c>
      <c r="D7" s="56" t="s">
        <v>207</v>
      </c>
      <c r="E7" s="23" t="s">
        <v>214</v>
      </c>
      <c r="F7" s="24" t="s">
        <v>266</v>
      </c>
      <c r="G7" s="22" t="s">
        <v>47</v>
      </c>
      <c r="H7" s="22" t="s">
        <v>54</v>
      </c>
      <c r="I7" s="12"/>
      <c r="J7" s="12"/>
      <c r="K7" s="23" t="s">
        <v>246</v>
      </c>
      <c r="L7" s="28" t="s">
        <v>377</v>
      </c>
      <c r="M7" s="28"/>
      <c r="N7" s="36"/>
    </row>
    <row r="8" spans="1:15" s="13" customFormat="1" ht="60" customHeight="1" x14ac:dyDescent="0.3">
      <c r="A8" s="65"/>
      <c r="B8" s="65"/>
      <c r="C8" s="58"/>
      <c r="D8" s="56"/>
      <c r="E8" s="28" t="s">
        <v>215</v>
      </c>
      <c r="F8" s="32" t="s">
        <v>408</v>
      </c>
      <c r="G8" s="42" t="s">
        <v>47</v>
      </c>
      <c r="H8" s="39" t="s">
        <v>97</v>
      </c>
      <c r="I8" s="30" t="s">
        <v>128</v>
      </c>
      <c r="J8" s="30" t="s">
        <v>101</v>
      </c>
      <c r="K8" s="28" t="s">
        <v>246</v>
      </c>
      <c r="L8" s="28" t="s">
        <v>377</v>
      </c>
      <c r="M8" s="28"/>
      <c r="N8" s="18"/>
    </row>
    <row r="9" spans="1:15" s="13" customFormat="1" ht="60" customHeight="1" x14ac:dyDescent="0.3">
      <c r="A9" s="65"/>
      <c r="B9" s="65"/>
      <c r="C9" s="58"/>
      <c r="D9" s="56"/>
      <c r="E9" s="28" t="s">
        <v>216</v>
      </c>
      <c r="F9" s="32" t="s">
        <v>268</v>
      </c>
      <c r="G9" s="43" t="s">
        <v>47</v>
      </c>
      <c r="H9" s="40" t="s">
        <v>97</v>
      </c>
      <c r="I9" s="30" t="s">
        <v>62</v>
      </c>
      <c r="J9" s="30" t="s">
        <v>117</v>
      </c>
      <c r="K9" s="28" t="s">
        <v>246</v>
      </c>
      <c r="L9" s="28" t="s">
        <v>377</v>
      </c>
      <c r="M9" s="31" t="s">
        <v>380</v>
      </c>
      <c r="N9" s="36"/>
    </row>
    <row r="10" spans="1:15" s="13" customFormat="1" ht="60" customHeight="1" x14ac:dyDescent="0.3">
      <c r="A10" s="65"/>
      <c r="B10" s="65"/>
      <c r="C10" s="58"/>
      <c r="D10" s="56"/>
      <c r="E10" s="28" t="s">
        <v>217</v>
      </c>
      <c r="F10" s="32" t="s">
        <v>267</v>
      </c>
      <c r="G10" s="43" t="s">
        <v>47</v>
      </c>
      <c r="H10" s="40" t="s">
        <v>97</v>
      </c>
      <c r="I10" s="30" t="s">
        <v>62</v>
      </c>
      <c r="J10" s="30" t="s">
        <v>115</v>
      </c>
      <c r="K10" s="28" t="s">
        <v>247</v>
      </c>
      <c r="L10" s="28" t="s">
        <v>377</v>
      </c>
      <c r="M10" s="31" t="s">
        <v>382</v>
      </c>
      <c r="N10" s="36"/>
    </row>
    <row r="11" spans="1:15" s="13" customFormat="1" ht="60" customHeight="1" x14ac:dyDescent="0.3">
      <c r="A11" s="65"/>
      <c r="B11" s="65"/>
      <c r="C11" s="58"/>
      <c r="D11" s="56"/>
      <c r="E11" s="28" t="s">
        <v>218</v>
      </c>
      <c r="F11" s="32" t="s">
        <v>384</v>
      </c>
      <c r="G11" s="43" t="s">
        <v>47</v>
      </c>
      <c r="H11" s="40" t="s">
        <v>97</v>
      </c>
      <c r="I11" s="30" t="s">
        <v>62</v>
      </c>
      <c r="J11" s="30" t="s">
        <v>114</v>
      </c>
      <c r="K11" s="28" t="s">
        <v>246</v>
      </c>
      <c r="L11" s="28" t="s">
        <v>378</v>
      </c>
      <c r="M11" s="28" t="s">
        <v>379</v>
      </c>
      <c r="N11" s="18" t="s">
        <v>390</v>
      </c>
    </row>
    <row r="12" spans="1:15" s="1" customFormat="1" ht="60" customHeight="1" x14ac:dyDescent="0.3">
      <c r="A12" s="66"/>
      <c r="B12" s="66"/>
      <c r="C12" s="59" t="s">
        <v>203</v>
      </c>
      <c r="D12" s="57" t="s">
        <v>204</v>
      </c>
      <c r="E12" s="44" t="s">
        <v>219</v>
      </c>
      <c r="F12" s="45" t="s">
        <v>269</v>
      </c>
      <c r="G12" s="22" t="s">
        <v>47</v>
      </c>
      <c r="H12" s="22" t="s">
        <v>54</v>
      </c>
      <c r="I12" s="46"/>
      <c r="J12" s="46"/>
      <c r="K12" s="44" t="s">
        <v>246</v>
      </c>
      <c r="L12" s="44" t="s">
        <v>378</v>
      </c>
      <c r="M12" s="33" t="s">
        <v>365</v>
      </c>
      <c r="N12" s="36" t="s">
        <v>391</v>
      </c>
    </row>
    <row r="13" spans="1:15" s="1" customFormat="1" ht="60" customHeight="1" x14ac:dyDescent="0.3">
      <c r="A13" s="65"/>
      <c r="B13" s="65"/>
      <c r="C13" s="56"/>
      <c r="D13" s="56"/>
      <c r="E13" s="22" t="s">
        <v>220</v>
      </c>
      <c r="F13" s="24" t="s">
        <v>315</v>
      </c>
      <c r="G13" s="22" t="s">
        <v>47</v>
      </c>
      <c r="H13" s="22" t="s">
        <v>54</v>
      </c>
      <c r="I13" s="12"/>
      <c r="J13" s="12"/>
      <c r="K13" s="22" t="s">
        <v>255</v>
      </c>
      <c r="L13" s="31" t="s">
        <v>378</v>
      </c>
      <c r="M13" s="33" t="s">
        <v>367</v>
      </c>
      <c r="N13" s="35" t="s">
        <v>391</v>
      </c>
    </row>
    <row r="14" spans="1:15" s="1" customFormat="1" ht="60" customHeight="1" x14ac:dyDescent="0.3">
      <c r="A14" s="65"/>
      <c r="B14" s="65"/>
      <c r="C14" s="58"/>
      <c r="D14" s="56"/>
      <c r="E14" s="23" t="s">
        <v>221</v>
      </c>
      <c r="F14" s="24" t="s">
        <v>270</v>
      </c>
      <c r="G14" s="22" t="s">
        <v>47</v>
      </c>
      <c r="H14" s="22" t="s">
        <v>54</v>
      </c>
      <c r="I14" s="12"/>
      <c r="J14" s="12"/>
      <c r="K14" s="23" t="s">
        <v>246</v>
      </c>
      <c r="L14" s="28" t="s">
        <v>377</v>
      </c>
      <c r="M14" s="18"/>
      <c r="N14" s="35"/>
    </row>
    <row r="15" spans="1:15" s="1" customFormat="1" ht="60" customHeight="1" x14ac:dyDescent="0.3">
      <c r="A15" s="65"/>
      <c r="B15" s="65"/>
      <c r="C15" s="58"/>
      <c r="D15" s="56"/>
      <c r="E15" s="23" t="s">
        <v>222</v>
      </c>
      <c r="F15" s="24" t="s">
        <v>292</v>
      </c>
      <c r="G15" s="22" t="s">
        <v>47</v>
      </c>
      <c r="H15" s="22" t="s">
        <v>54</v>
      </c>
      <c r="I15" s="12"/>
      <c r="J15" s="12"/>
      <c r="K15" s="23" t="s">
        <v>245</v>
      </c>
      <c r="L15" s="28" t="s">
        <v>377</v>
      </c>
      <c r="M15" s="18"/>
      <c r="N15" s="35"/>
    </row>
    <row r="16" spans="1:15" s="1" customFormat="1" ht="60" customHeight="1" x14ac:dyDescent="0.3">
      <c r="A16" s="65"/>
      <c r="B16" s="65"/>
      <c r="C16" s="58"/>
      <c r="D16" s="56"/>
      <c r="E16" s="28" t="s">
        <v>304</v>
      </c>
      <c r="F16" s="32" t="s">
        <v>399</v>
      </c>
      <c r="G16" s="42" t="s">
        <v>47</v>
      </c>
      <c r="H16" s="39" t="s">
        <v>97</v>
      </c>
      <c r="I16" s="30" t="s">
        <v>62</v>
      </c>
      <c r="J16" s="30" t="s">
        <v>115</v>
      </c>
      <c r="K16" s="28" t="s">
        <v>247</v>
      </c>
      <c r="L16" s="28" t="s">
        <v>378</v>
      </c>
      <c r="M16" s="18" t="s">
        <v>366</v>
      </c>
      <c r="N16" s="35" t="s">
        <v>391</v>
      </c>
    </row>
    <row r="17" spans="1:14" s="1" customFormat="1" ht="60" customHeight="1" x14ac:dyDescent="0.3">
      <c r="A17" s="66"/>
      <c r="B17" s="66"/>
      <c r="C17" s="57"/>
      <c r="D17" s="57"/>
      <c r="E17" s="47" t="s">
        <v>223</v>
      </c>
      <c r="F17" s="45" t="s">
        <v>293</v>
      </c>
      <c r="G17" s="21" t="s">
        <v>47</v>
      </c>
      <c r="H17" s="21" t="s">
        <v>54</v>
      </c>
      <c r="I17" s="46"/>
      <c r="J17" s="46"/>
      <c r="K17" s="48" t="s">
        <v>255</v>
      </c>
      <c r="L17" s="48" t="s">
        <v>377</v>
      </c>
      <c r="M17" s="33"/>
      <c r="N17" s="35"/>
    </row>
    <row r="18" spans="1:14" s="1" customFormat="1" ht="60" customHeight="1" x14ac:dyDescent="0.3">
      <c r="A18" s="65"/>
      <c r="B18" s="65"/>
      <c r="C18" s="56"/>
      <c r="D18" s="56"/>
      <c r="E18" s="22" t="s">
        <v>224</v>
      </c>
      <c r="F18" s="24" t="s">
        <v>319</v>
      </c>
      <c r="G18" s="21" t="s">
        <v>47</v>
      </c>
      <c r="H18" s="21" t="s">
        <v>54</v>
      </c>
      <c r="I18" s="12"/>
      <c r="J18" s="12"/>
      <c r="K18" s="25" t="s">
        <v>255</v>
      </c>
      <c r="L18" s="33" t="s">
        <v>378</v>
      </c>
      <c r="M18" s="33" t="s">
        <v>398</v>
      </c>
      <c r="N18" s="35" t="s">
        <v>391</v>
      </c>
    </row>
    <row r="19" spans="1:14" s="1" customFormat="1" ht="60" customHeight="1" x14ac:dyDescent="0.3">
      <c r="A19" s="65"/>
      <c r="B19" s="65"/>
      <c r="C19" s="56"/>
      <c r="D19" s="56"/>
      <c r="E19" s="22" t="s">
        <v>225</v>
      </c>
      <c r="F19" s="24" t="s">
        <v>256</v>
      </c>
      <c r="G19" s="21" t="s">
        <v>47</v>
      </c>
      <c r="H19" s="21" t="s">
        <v>54</v>
      </c>
      <c r="I19" s="12"/>
      <c r="J19" s="12"/>
      <c r="K19" s="25" t="s">
        <v>255</v>
      </c>
      <c r="L19" s="33" t="s">
        <v>378</v>
      </c>
      <c r="M19" s="33" t="s">
        <v>368</v>
      </c>
      <c r="N19" s="35" t="s">
        <v>391</v>
      </c>
    </row>
    <row r="20" spans="1:14" s="1" customFormat="1" ht="60" customHeight="1" x14ac:dyDescent="0.3">
      <c r="A20" s="65"/>
      <c r="B20" s="65"/>
      <c r="C20" s="58"/>
      <c r="D20" s="56"/>
      <c r="E20" s="28" t="s">
        <v>230</v>
      </c>
      <c r="F20" s="32" t="s">
        <v>271</v>
      </c>
      <c r="G20" s="43" t="s">
        <v>47</v>
      </c>
      <c r="H20" s="40" t="s">
        <v>97</v>
      </c>
      <c r="I20" s="30" t="s">
        <v>62</v>
      </c>
      <c r="J20" s="30" t="s">
        <v>114</v>
      </c>
      <c r="K20" s="18" t="s">
        <v>312</v>
      </c>
      <c r="L20" s="18" t="s">
        <v>378</v>
      </c>
      <c r="M20" s="18" t="s">
        <v>366</v>
      </c>
      <c r="N20" s="35" t="s">
        <v>391</v>
      </c>
    </row>
    <row r="21" spans="1:14" s="1" customFormat="1" ht="60" customHeight="1" x14ac:dyDescent="0.3">
      <c r="A21" s="66"/>
      <c r="B21" s="66"/>
      <c r="C21" s="59"/>
      <c r="D21" s="57"/>
      <c r="E21" s="34" t="s">
        <v>233</v>
      </c>
      <c r="F21" s="45" t="s">
        <v>402</v>
      </c>
      <c r="G21" s="43" t="s">
        <v>47</v>
      </c>
      <c r="H21" s="40" t="s">
        <v>54</v>
      </c>
      <c r="I21" s="46"/>
      <c r="J21" s="46"/>
      <c r="K21" s="36" t="s">
        <v>255</v>
      </c>
      <c r="L21" s="49" t="s">
        <v>378</v>
      </c>
      <c r="M21" s="36" t="s">
        <v>398</v>
      </c>
      <c r="N21" s="35" t="s">
        <v>391</v>
      </c>
    </row>
    <row r="22" spans="1:14" s="1" customFormat="1" ht="60" customHeight="1" x14ac:dyDescent="0.3">
      <c r="A22" s="66"/>
      <c r="B22" s="66"/>
      <c r="C22" s="59"/>
      <c r="D22" s="57"/>
      <c r="E22" s="34" t="s">
        <v>401</v>
      </c>
      <c r="F22" s="45" t="s">
        <v>373</v>
      </c>
      <c r="G22" s="21" t="s">
        <v>47</v>
      </c>
      <c r="H22" s="21" t="s">
        <v>54</v>
      </c>
      <c r="I22" s="46"/>
      <c r="J22" s="46"/>
      <c r="K22" s="49" t="s">
        <v>248</v>
      </c>
      <c r="L22" s="55" t="s">
        <v>378</v>
      </c>
      <c r="M22" s="33" t="s">
        <v>397</v>
      </c>
      <c r="N22" s="35" t="s">
        <v>392</v>
      </c>
    </row>
    <row r="23" spans="1:14" s="1" customFormat="1" ht="60" customHeight="1" x14ac:dyDescent="0.3">
      <c r="A23" s="65"/>
      <c r="B23" s="65"/>
      <c r="C23" s="58" t="s">
        <v>231</v>
      </c>
      <c r="D23" s="56" t="s">
        <v>232</v>
      </c>
      <c r="E23" s="23" t="s">
        <v>234</v>
      </c>
      <c r="F23" s="24" t="s">
        <v>272</v>
      </c>
      <c r="G23" s="21" t="s">
        <v>47</v>
      </c>
      <c r="H23" s="21" t="s">
        <v>54</v>
      </c>
      <c r="I23" s="12"/>
      <c r="J23" s="12"/>
      <c r="K23" s="23" t="s">
        <v>245</v>
      </c>
      <c r="L23" s="28" t="s">
        <v>377</v>
      </c>
      <c r="M23" s="18"/>
      <c r="N23" s="35"/>
    </row>
    <row r="24" spans="1:14" s="1" customFormat="1" ht="60" customHeight="1" x14ac:dyDescent="0.3">
      <c r="A24" s="65"/>
      <c r="B24" s="65"/>
      <c r="C24" s="58"/>
      <c r="D24" s="56"/>
      <c r="E24" s="23" t="s">
        <v>305</v>
      </c>
      <c r="F24" s="24" t="s">
        <v>275</v>
      </c>
      <c r="G24" s="21" t="s">
        <v>47</v>
      </c>
      <c r="H24" s="21" t="s">
        <v>54</v>
      </c>
      <c r="I24" s="12"/>
      <c r="J24" s="12"/>
      <c r="K24" s="23" t="s">
        <v>245</v>
      </c>
      <c r="L24" s="28" t="s">
        <v>377</v>
      </c>
      <c r="M24" s="18"/>
      <c r="N24" s="35"/>
    </row>
    <row r="25" spans="1:14" ht="60" customHeight="1" x14ac:dyDescent="0.3">
      <c r="A25" s="56" t="s">
        <v>11</v>
      </c>
      <c r="B25" s="56" t="s">
        <v>229</v>
      </c>
      <c r="C25" s="58" t="s">
        <v>1</v>
      </c>
      <c r="D25" s="56" t="s">
        <v>317</v>
      </c>
      <c r="E25" s="23" t="s">
        <v>2</v>
      </c>
      <c r="F25" s="24" t="s">
        <v>313</v>
      </c>
      <c r="G25" s="22" t="s">
        <v>47</v>
      </c>
      <c r="H25" s="22" t="s">
        <v>54</v>
      </c>
      <c r="I25" s="12"/>
      <c r="J25" s="12"/>
      <c r="K25" s="23" t="s">
        <v>249</v>
      </c>
      <c r="L25" s="28" t="s">
        <v>377</v>
      </c>
      <c r="M25" s="28"/>
      <c r="N25" s="35"/>
    </row>
    <row r="26" spans="1:14" s="13" customFormat="1" ht="60" customHeight="1" x14ac:dyDescent="0.3">
      <c r="A26" s="56"/>
      <c r="B26" s="56"/>
      <c r="C26" s="58"/>
      <c r="D26" s="56"/>
      <c r="E26" s="28" t="s">
        <v>2</v>
      </c>
      <c r="F26" s="32" t="s">
        <v>314</v>
      </c>
      <c r="G26" s="42" t="s">
        <v>47</v>
      </c>
      <c r="H26" s="39" t="s">
        <v>54</v>
      </c>
      <c r="I26" s="12"/>
      <c r="J26" s="12"/>
      <c r="K26" s="28" t="s">
        <v>249</v>
      </c>
      <c r="L26" s="28" t="s">
        <v>377</v>
      </c>
      <c r="M26" s="28"/>
      <c r="N26" s="35"/>
    </row>
    <row r="27" spans="1:14" s="13" customFormat="1" ht="60" customHeight="1" x14ac:dyDescent="0.3">
      <c r="A27" s="57"/>
      <c r="B27" s="57"/>
      <c r="C27" s="59" t="s">
        <v>206</v>
      </c>
      <c r="D27" s="57" t="s">
        <v>10</v>
      </c>
      <c r="E27" s="50" t="s">
        <v>3</v>
      </c>
      <c r="F27" s="45" t="s">
        <v>351</v>
      </c>
      <c r="G27" s="22" t="s">
        <v>47</v>
      </c>
      <c r="H27" s="22" t="s">
        <v>54</v>
      </c>
      <c r="I27" s="46"/>
      <c r="J27" s="46"/>
      <c r="K27" s="44" t="s">
        <v>249</v>
      </c>
      <c r="L27" s="44" t="s">
        <v>377</v>
      </c>
      <c r="M27" s="28"/>
      <c r="N27" s="35"/>
    </row>
    <row r="28" spans="1:14" s="13" customFormat="1" ht="60" customHeight="1" x14ac:dyDescent="0.3">
      <c r="A28" s="56"/>
      <c r="B28" s="56"/>
      <c r="C28" s="58"/>
      <c r="D28" s="56"/>
      <c r="E28" s="20" t="s">
        <v>333</v>
      </c>
      <c r="F28" s="24" t="s">
        <v>376</v>
      </c>
      <c r="G28" s="22" t="s">
        <v>47</v>
      </c>
      <c r="H28" s="22" t="s">
        <v>54</v>
      </c>
      <c r="I28" s="12"/>
      <c r="J28" s="12"/>
      <c r="K28" s="23" t="s">
        <v>249</v>
      </c>
      <c r="L28" s="28" t="s">
        <v>377</v>
      </c>
      <c r="M28" s="28"/>
      <c r="N28" s="35"/>
    </row>
    <row r="29" spans="1:14" s="13" customFormat="1" ht="60" customHeight="1" x14ac:dyDescent="0.3">
      <c r="A29" s="56"/>
      <c r="B29" s="56"/>
      <c r="C29" s="58"/>
      <c r="D29" s="56"/>
      <c r="E29" s="20" t="s">
        <v>334</v>
      </c>
      <c r="F29" s="24" t="s">
        <v>385</v>
      </c>
      <c r="G29" s="22" t="s">
        <v>47</v>
      </c>
      <c r="H29" s="22" t="s">
        <v>54</v>
      </c>
      <c r="I29" s="12"/>
      <c r="J29" s="12"/>
      <c r="K29" s="23" t="s">
        <v>249</v>
      </c>
      <c r="L29" s="28" t="s">
        <v>377</v>
      </c>
      <c r="M29" s="28"/>
      <c r="N29" s="35"/>
    </row>
    <row r="30" spans="1:14" ht="60" customHeight="1" x14ac:dyDescent="0.3">
      <c r="A30" s="56"/>
      <c r="B30" s="56"/>
      <c r="C30" s="58"/>
      <c r="D30" s="56"/>
      <c r="E30" s="20" t="s">
        <v>350</v>
      </c>
      <c r="F30" s="24" t="s">
        <v>335</v>
      </c>
      <c r="G30" s="21" t="s">
        <v>47</v>
      </c>
      <c r="H30" s="21" t="s">
        <v>54</v>
      </c>
      <c r="I30" s="12"/>
      <c r="J30" s="12"/>
      <c r="K30" s="23" t="s">
        <v>249</v>
      </c>
      <c r="L30" s="28" t="s">
        <v>377</v>
      </c>
      <c r="M30" s="28"/>
      <c r="N30" s="35"/>
    </row>
    <row r="31" spans="1:14" s="13" customFormat="1" ht="60" customHeight="1" x14ac:dyDescent="0.3">
      <c r="A31" s="56" t="s">
        <v>226</v>
      </c>
      <c r="B31" s="56" t="s">
        <v>208</v>
      </c>
      <c r="C31" s="58" t="s">
        <v>4</v>
      </c>
      <c r="D31" s="56" t="s">
        <v>243</v>
      </c>
      <c r="E31" s="20" t="s">
        <v>5</v>
      </c>
      <c r="F31" s="24" t="s">
        <v>273</v>
      </c>
      <c r="G31" s="22" t="s">
        <v>47</v>
      </c>
      <c r="H31" s="22" t="s">
        <v>54</v>
      </c>
      <c r="I31" s="12"/>
      <c r="J31" s="12"/>
      <c r="K31" s="23" t="s">
        <v>245</v>
      </c>
      <c r="L31" s="28" t="s">
        <v>377</v>
      </c>
      <c r="M31" s="28"/>
      <c r="N31" s="35"/>
    </row>
    <row r="32" spans="1:14" s="13" customFormat="1" ht="60" customHeight="1" x14ac:dyDescent="0.3">
      <c r="A32" s="56"/>
      <c r="B32" s="56"/>
      <c r="C32" s="58"/>
      <c r="D32" s="56"/>
      <c r="E32" s="20" t="s">
        <v>227</v>
      </c>
      <c r="F32" s="24" t="s">
        <v>274</v>
      </c>
      <c r="G32" s="22" t="s">
        <v>47</v>
      </c>
      <c r="H32" s="22" t="s">
        <v>54</v>
      </c>
      <c r="I32" s="12"/>
      <c r="J32" s="12"/>
      <c r="K32" s="23" t="s">
        <v>245</v>
      </c>
      <c r="L32" s="28" t="s">
        <v>377</v>
      </c>
      <c r="M32" s="28"/>
      <c r="N32" s="35"/>
    </row>
    <row r="33" spans="1:14" s="13" customFormat="1" ht="60" customHeight="1" x14ac:dyDescent="0.3">
      <c r="A33" s="56"/>
      <c r="B33" s="56"/>
      <c r="C33" s="58"/>
      <c r="D33" s="56"/>
      <c r="E33" s="20" t="s">
        <v>228</v>
      </c>
      <c r="F33" s="24" t="s">
        <v>276</v>
      </c>
      <c r="G33" s="22" t="s">
        <v>47</v>
      </c>
      <c r="H33" s="22" t="s">
        <v>54</v>
      </c>
      <c r="I33" s="12"/>
      <c r="J33" s="12"/>
      <c r="K33" s="23" t="s">
        <v>245</v>
      </c>
      <c r="L33" s="28" t="s">
        <v>377</v>
      </c>
      <c r="M33" s="28"/>
      <c r="N33" s="35"/>
    </row>
    <row r="34" spans="1:14" ht="60" customHeight="1" x14ac:dyDescent="0.3">
      <c r="A34" s="56" t="s">
        <v>235</v>
      </c>
      <c r="B34" s="56" t="s">
        <v>320</v>
      </c>
      <c r="C34" s="19" t="s">
        <v>6</v>
      </c>
      <c r="D34" s="22" t="s">
        <v>40</v>
      </c>
      <c r="E34" s="23" t="s">
        <v>7</v>
      </c>
      <c r="F34" s="24" t="s">
        <v>375</v>
      </c>
      <c r="G34" s="22" t="s">
        <v>47</v>
      </c>
      <c r="H34" s="22" t="s">
        <v>54</v>
      </c>
      <c r="I34" s="12"/>
      <c r="J34" s="12"/>
      <c r="K34" s="23" t="s">
        <v>249</v>
      </c>
      <c r="L34" s="28" t="s">
        <v>377</v>
      </c>
      <c r="M34" s="28"/>
      <c r="N34" s="35"/>
    </row>
    <row r="35" spans="1:14" ht="60" customHeight="1" x14ac:dyDescent="0.3">
      <c r="A35" s="56"/>
      <c r="B35" s="56"/>
      <c r="C35" s="58" t="s">
        <v>321</v>
      </c>
      <c r="D35" s="56" t="s">
        <v>322</v>
      </c>
      <c r="E35" s="29" t="s">
        <v>8</v>
      </c>
      <c r="F35" s="32" t="s">
        <v>407</v>
      </c>
      <c r="G35" s="43" t="s">
        <v>47</v>
      </c>
      <c r="H35" s="40" t="s">
        <v>97</v>
      </c>
      <c r="I35" s="30" t="s">
        <v>128</v>
      </c>
      <c r="J35" s="30" t="s">
        <v>101</v>
      </c>
      <c r="K35" s="28" t="s">
        <v>249</v>
      </c>
      <c r="L35" s="28" t="s">
        <v>377</v>
      </c>
      <c r="M35" s="28"/>
      <c r="N35" s="35"/>
    </row>
    <row r="36" spans="1:14" s="13" customFormat="1" ht="60" customHeight="1" x14ac:dyDescent="0.3">
      <c r="A36" s="56"/>
      <c r="B36" s="56"/>
      <c r="C36" s="58"/>
      <c r="D36" s="56"/>
      <c r="E36" s="29" t="s">
        <v>9</v>
      </c>
      <c r="F36" s="32" t="s">
        <v>294</v>
      </c>
      <c r="G36" s="43" t="s">
        <v>47</v>
      </c>
      <c r="H36" s="40" t="s">
        <v>97</v>
      </c>
      <c r="I36" s="30" t="s">
        <v>62</v>
      </c>
      <c r="J36" s="31" t="s">
        <v>115</v>
      </c>
      <c r="K36" s="28" t="s">
        <v>247</v>
      </c>
      <c r="L36" s="28" t="s">
        <v>377</v>
      </c>
      <c r="M36" s="28"/>
      <c r="N36" s="35"/>
    </row>
    <row r="37" spans="1:14" ht="60" customHeight="1" x14ac:dyDescent="0.3">
      <c r="A37" s="57" t="s">
        <v>12</v>
      </c>
      <c r="B37" s="57" t="s">
        <v>323</v>
      </c>
      <c r="C37" s="44" t="s">
        <v>324</v>
      </c>
      <c r="D37" s="47" t="s">
        <v>326</v>
      </c>
      <c r="E37" s="44" t="s">
        <v>13</v>
      </c>
      <c r="F37" s="45" t="s">
        <v>277</v>
      </c>
      <c r="G37" s="21" t="s">
        <v>47</v>
      </c>
      <c r="H37" s="21" t="s">
        <v>54</v>
      </c>
      <c r="I37" s="46"/>
      <c r="J37" s="46"/>
      <c r="K37" s="44" t="s">
        <v>245</v>
      </c>
      <c r="L37" s="28" t="s">
        <v>377</v>
      </c>
      <c r="M37" s="28"/>
      <c r="N37" s="35"/>
    </row>
    <row r="38" spans="1:14" ht="60" customHeight="1" x14ac:dyDescent="0.3">
      <c r="A38" s="56"/>
      <c r="B38" s="56"/>
      <c r="C38" s="23" t="s">
        <v>325</v>
      </c>
      <c r="D38" s="22" t="s">
        <v>327</v>
      </c>
      <c r="E38" s="23" t="s">
        <v>306</v>
      </c>
      <c r="F38" s="24" t="s">
        <v>259</v>
      </c>
      <c r="G38" s="21" t="s">
        <v>47</v>
      </c>
      <c r="H38" s="21" t="s">
        <v>54</v>
      </c>
      <c r="I38" s="12"/>
      <c r="J38" s="12"/>
      <c r="K38" s="23" t="s">
        <v>245</v>
      </c>
      <c r="L38" s="28" t="s">
        <v>377</v>
      </c>
      <c r="M38" s="28"/>
      <c r="N38" s="35"/>
    </row>
    <row r="39" spans="1:14" ht="60" customHeight="1" x14ac:dyDescent="0.3">
      <c r="A39" s="56" t="s">
        <v>236</v>
      </c>
      <c r="B39" s="56" t="s">
        <v>20</v>
      </c>
      <c r="C39" s="58" t="s">
        <v>15</v>
      </c>
      <c r="D39" s="56" t="s">
        <v>21</v>
      </c>
      <c r="E39" s="23" t="s">
        <v>14</v>
      </c>
      <c r="F39" s="24" t="s">
        <v>361</v>
      </c>
      <c r="G39" s="22" t="s">
        <v>47</v>
      </c>
      <c r="H39" s="22" t="s">
        <v>54</v>
      </c>
      <c r="I39" s="12"/>
      <c r="J39" s="12"/>
      <c r="K39" s="23" t="s">
        <v>249</v>
      </c>
      <c r="L39" s="28" t="s">
        <v>377</v>
      </c>
      <c r="M39" s="28"/>
      <c r="N39" s="35"/>
    </row>
    <row r="40" spans="1:14" s="13" customFormat="1" ht="60" customHeight="1" x14ac:dyDescent="0.3">
      <c r="A40" s="56"/>
      <c r="B40" s="56"/>
      <c r="C40" s="58"/>
      <c r="D40" s="56"/>
      <c r="E40" s="23" t="s">
        <v>328</v>
      </c>
      <c r="F40" s="24" t="s">
        <v>336</v>
      </c>
      <c r="G40" s="22" t="s">
        <v>47</v>
      </c>
      <c r="H40" s="22" t="s">
        <v>54</v>
      </c>
      <c r="I40" s="12"/>
      <c r="J40" s="12"/>
      <c r="K40" s="23" t="s">
        <v>249</v>
      </c>
      <c r="L40" s="28" t="s">
        <v>377</v>
      </c>
      <c r="M40" s="28"/>
      <c r="N40" s="35"/>
    </row>
    <row r="41" spans="1:14" ht="60" customHeight="1" x14ac:dyDescent="0.3">
      <c r="A41" s="56"/>
      <c r="B41" s="56"/>
      <c r="C41" s="28" t="s">
        <v>16</v>
      </c>
      <c r="D41" s="31" t="s">
        <v>22</v>
      </c>
      <c r="E41" s="29" t="s">
        <v>17</v>
      </c>
      <c r="F41" s="32" t="s">
        <v>352</v>
      </c>
      <c r="G41" s="43" t="s">
        <v>47</v>
      </c>
      <c r="H41" s="40" t="s">
        <v>97</v>
      </c>
      <c r="I41" s="30" t="s">
        <v>62</v>
      </c>
      <c r="J41" s="31" t="s">
        <v>115</v>
      </c>
      <c r="K41" s="28" t="s">
        <v>247</v>
      </c>
      <c r="L41" s="28" t="s">
        <v>377</v>
      </c>
      <c r="M41" s="28"/>
      <c r="N41" s="35"/>
    </row>
    <row r="42" spans="1:14" ht="60" customHeight="1" x14ac:dyDescent="0.3">
      <c r="A42" s="57"/>
      <c r="B42" s="57"/>
      <c r="C42" s="44" t="s">
        <v>237</v>
      </c>
      <c r="D42" s="47" t="s">
        <v>23</v>
      </c>
      <c r="E42" s="50" t="s">
        <v>239</v>
      </c>
      <c r="F42" s="45" t="s">
        <v>353</v>
      </c>
      <c r="G42" s="21" t="s">
        <v>47</v>
      </c>
      <c r="H42" s="21" t="s">
        <v>54</v>
      </c>
      <c r="I42" s="46"/>
      <c r="J42" s="46"/>
      <c r="K42" s="44" t="s">
        <v>249</v>
      </c>
      <c r="L42" s="44" t="s">
        <v>377</v>
      </c>
      <c r="M42" s="28"/>
      <c r="N42" s="35"/>
    </row>
    <row r="43" spans="1:14" ht="60" customHeight="1" x14ac:dyDescent="0.3">
      <c r="A43" s="56"/>
      <c r="B43" s="56"/>
      <c r="C43" s="58" t="s">
        <v>238</v>
      </c>
      <c r="D43" s="56" t="s">
        <v>24</v>
      </c>
      <c r="E43" s="20" t="s">
        <v>307</v>
      </c>
      <c r="F43" s="24" t="s">
        <v>386</v>
      </c>
      <c r="G43" s="21" t="s">
        <v>47</v>
      </c>
      <c r="H43" s="21" t="s">
        <v>54</v>
      </c>
      <c r="I43" s="12"/>
      <c r="J43" s="12"/>
      <c r="K43" s="23" t="s">
        <v>249</v>
      </c>
      <c r="L43" s="28" t="s">
        <v>377</v>
      </c>
      <c r="M43" s="28"/>
      <c r="N43" s="35"/>
    </row>
    <row r="44" spans="1:14" ht="60" customHeight="1" x14ac:dyDescent="0.3">
      <c r="A44" s="56"/>
      <c r="B44" s="56"/>
      <c r="C44" s="58"/>
      <c r="D44" s="56"/>
      <c r="E44" s="29" t="s">
        <v>308</v>
      </c>
      <c r="F44" s="32" t="s">
        <v>337</v>
      </c>
      <c r="G44" s="43" t="s">
        <v>47</v>
      </c>
      <c r="H44" s="40" t="s">
        <v>97</v>
      </c>
      <c r="I44" s="30" t="s">
        <v>128</v>
      </c>
      <c r="J44" s="30" t="s">
        <v>101</v>
      </c>
      <c r="K44" s="28" t="s">
        <v>249</v>
      </c>
      <c r="L44" s="28" t="s">
        <v>377</v>
      </c>
      <c r="M44" s="28"/>
      <c r="N44" s="35"/>
    </row>
    <row r="45" spans="1:14" ht="60" customHeight="1" x14ac:dyDescent="0.3">
      <c r="A45" s="57" t="s">
        <v>240</v>
      </c>
      <c r="B45" s="57" t="s">
        <v>178</v>
      </c>
      <c r="C45" s="59" t="s">
        <v>18</v>
      </c>
      <c r="D45" s="57" t="s">
        <v>177</v>
      </c>
      <c r="E45" s="44" t="s">
        <v>310</v>
      </c>
      <c r="F45" s="45" t="s">
        <v>260</v>
      </c>
      <c r="G45" s="21" t="s">
        <v>46</v>
      </c>
      <c r="H45" s="21" t="s">
        <v>52</v>
      </c>
      <c r="I45" s="46"/>
      <c r="J45" s="46"/>
      <c r="K45" s="44" t="s">
        <v>250</v>
      </c>
      <c r="L45" s="28" t="s">
        <v>377</v>
      </c>
      <c r="M45" s="28"/>
      <c r="N45" s="35"/>
    </row>
    <row r="46" spans="1:14" ht="60" customHeight="1" x14ac:dyDescent="0.3">
      <c r="A46" s="56"/>
      <c r="B46" s="56"/>
      <c r="C46" s="58"/>
      <c r="D46" s="56"/>
      <c r="E46" s="28" t="s">
        <v>311</v>
      </c>
      <c r="F46" s="32" t="s">
        <v>261</v>
      </c>
      <c r="G46" s="43" t="s">
        <v>47</v>
      </c>
      <c r="H46" s="40" t="s">
        <v>97</v>
      </c>
      <c r="I46" s="30" t="s">
        <v>60</v>
      </c>
      <c r="J46" s="30" t="s">
        <v>106</v>
      </c>
      <c r="K46" s="28" t="s">
        <v>250</v>
      </c>
      <c r="L46" s="28" t="s">
        <v>377</v>
      </c>
      <c r="M46" s="28"/>
      <c r="N46" s="35"/>
    </row>
    <row r="47" spans="1:14" ht="60" customHeight="1" x14ac:dyDescent="0.3">
      <c r="A47" s="56"/>
      <c r="B47" s="56"/>
      <c r="C47" s="28" t="s">
        <v>19</v>
      </c>
      <c r="D47" s="31" t="s">
        <v>179</v>
      </c>
      <c r="E47" s="28" t="s">
        <v>309</v>
      </c>
      <c r="F47" s="32" t="s">
        <v>262</v>
      </c>
      <c r="G47" s="43" t="s">
        <v>47</v>
      </c>
      <c r="H47" s="40" t="s">
        <v>97</v>
      </c>
      <c r="I47" s="30" t="s">
        <v>60</v>
      </c>
      <c r="J47" s="30" t="s">
        <v>108</v>
      </c>
      <c r="K47" s="28" t="s">
        <v>250</v>
      </c>
      <c r="L47" s="28" t="s">
        <v>377</v>
      </c>
      <c r="M47" s="28"/>
      <c r="N47" s="35"/>
    </row>
    <row r="48" spans="1:14" ht="60" customHeight="1" x14ac:dyDescent="0.3">
      <c r="A48" s="57" t="s">
        <v>68</v>
      </c>
      <c r="B48" s="57" t="s">
        <v>67</v>
      </c>
      <c r="C48" s="59" t="s">
        <v>25</v>
      </c>
      <c r="D48" s="57" t="s">
        <v>72</v>
      </c>
      <c r="E48" s="44" t="s">
        <v>26</v>
      </c>
      <c r="F48" s="51" t="s">
        <v>278</v>
      </c>
      <c r="G48" s="22" t="s">
        <v>47</v>
      </c>
      <c r="H48" s="22" t="s">
        <v>54</v>
      </c>
      <c r="I48" s="46"/>
      <c r="J48" s="46"/>
      <c r="K48" s="44" t="s">
        <v>245</v>
      </c>
      <c r="L48" s="28" t="s">
        <v>377</v>
      </c>
      <c r="M48" s="28"/>
      <c r="N48" s="35"/>
    </row>
    <row r="49" spans="1:14" ht="60" customHeight="1" x14ac:dyDescent="0.3">
      <c r="A49" s="56"/>
      <c r="B49" s="56"/>
      <c r="C49" s="58"/>
      <c r="D49" s="56"/>
      <c r="E49" s="23" t="s">
        <v>27</v>
      </c>
      <c r="F49" s="24" t="s">
        <v>279</v>
      </c>
      <c r="G49" s="22" t="s">
        <v>47</v>
      </c>
      <c r="H49" s="22" t="s">
        <v>54</v>
      </c>
      <c r="I49" s="12"/>
      <c r="J49" s="12"/>
      <c r="K49" s="23" t="s">
        <v>245</v>
      </c>
      <c r="L49" s="28" t="s">
        <v>377</v>
      </c>
      <c r="M49" s="28"/>
      <c r="N49" s="35"/>
    </row>
    <row r="50" spans="1:14" ht="60" customHeight="1" x14ac:dyDescent="0.3">
      <c r="A50" s="56" t="s">
        <v>241</v>
      </c>
      <c r="B50" s="56" t="s">
        <v>30</v>
      </c>
      <c r="C50" s="58" t="s">
        <v>28</v>
      </c>
      <c r="D50" s="56" t="s">
        <v>354</v>
      </c>
      <c r="E50" s="23" t="s">
        <v>69</v>
      </c>
      <c r="F50" s="24" t="s">
        <v>364</v>
      </c>
      <c r="G50" s="22" t="s">
        <v>47</v>
      </c>
      <c r="H50" s="22" t="s">
        <v>54</v>
      </c>
      <c r="I50" s="12"/>
      <c r="J50" s="12"/>
      <c r="K50" s="23" t="s">
        <v>249</v>
      </c>
      <c r="L50" s="28" t="s">
        <v>377</v>
      </c>
      <c r="M50" s="28"/>
      <c r="N50" s="35"/>
    </row>
    <row r="51" spans="1:14" ht="60" customHeight="1" x14ac:dyDescent="0.3">
      <c r="A51" s="56"/>
      <c r="B51" s="56"/>
      <c r="C51" s="58"/>
      <c r="D51" s="56"/>
      <c r="E51" s="23" t="s">
        <v>70</v>
      </c>
      <c r="F51" s="24" t="s">
        <v>280</v>
      </c>
      <c r="G51" s="21" t="s">
        <v>47</v>
      </c>
      <c r="H51" s="21" t="s">
        <v>54</v>
      </c>
      <c r="I51" s="12"/>
      <c r="J51" s="12"/>
      <c r="K51" s="23" t="s">
        <v>249</v>
      </c>
      <c r="L51" s="28" t="s">
        <v>377</v>
      </c>
      <c r="M51" s="28"/>
      <c r="N51" s="35"/>
    </row>
    <row r="52" spans="1:14" ht="60" customHeight="1" x14ac:dyDescent="0.3">
      <c r="A52" s="56"/>
      <c r="B52" s="56"/>
      <c r="C52" s="58" t="s">
        <v>29</v>
      </c>
      <c r="D52" s="56" t="s">
        <v>31</v>
      </c>
      <c r="E52" s="20" t="s">
        <v>71</v>
      </c>
      <c r="F52" s="24" t="s">
        <v>295</v>
      </c>
      <c r="G52" s="21" t="s">
        <v>47</v>
      </c>
      <c r="H52" s="21" t="s">
        <v>54</v>
      </c>
      <c r="I52" s="12"/>
      <c r="J52" s="12"/>
      <c r="K52" s="23" t="s">
        <v>245</v>
      </c>
      <c r="L52" s="28" t="s">
        <v>377</v>
      </c>
      <c r="M52" s="28"/>
      <c r="N52" s="35"/>
    </row>
    <row r="53" spans="1:14" ht="60" customHeight="1" x14ac:dyDescent="0.3">
      <c r="A53" s="56"/>
      <c r="B53" s="56"/>
      <c r="C53" s="58"/>
      <c r="D53" s="56"/>
      <c r="E53" s="20" t="s">
        <v>242</v>
      </c>
      <c r="F53" s="24" t="s">
        <v>257</v>
      </c>
      <c r="G53" s="21" t="s">
        <v>47</v>
      </c>
      <c r="H53" s="21" t="s">
        <v>54</v>
      </c>
      <c r="I53" s="12"/>
      <c r="J53" s="12"/>
      <c r="K53" s="23" t="s">
        <v>249</v>
      </c>
      <c r="L53" s="28" t="s">
        <v>377</v>
      </c>
      <c r="M53" s="28"/>
      <c r="N53" s="35"/>
    </row>
    <row r="54" spans="1:14" ht="60" customHeight="1" x14ac:dyDescent="0.3">
      <c r="A54" s="56" t="s">
        <v>85</v>
      </c>
      <c r="B54" s="56" t="s">
        <v>88</v>
      </c>
      <c r="C54" s="58" t="s">
        <v>79</v>
      </c>
      <c r="D54" s="56" t="s">
        <v>132</v>
      </c>
      <c r="E54" s="23" t="s">
        <v>81</v>
      </c>
      <c r="F54" s="24" t="s">
        <v>296</v>
      </c>
      <c r="G54" s="21" t="s">
        <v>47</v>
      </c>
      <c r="H54" s="21" t="s">
        <v>54</v>
      </c>
      <c r="I54" s="12"/>
      <c r="J54" s="12"/>
      <c r="K54" s="23" t="s">
        <v>248</v>
      </c>
      <c r="L54" s="28" t="s">
        <v>377</v>
      </c>
      <c r="M54" s="31"/>
      <c r="N54" s="35"/>
    </row>
    <row r="55" spans="1:14" ht="60" customHeight="1" x14ac:dyDescent="0.3">
      <c r="A55" s="56"/>
      <c r="B55" s="56"/>
      <c r="C55" s="58"/>
      <c r="D55" s="56"/>
      <c r="E55" s="28" t="s">
        <v>82</v>
      </c>
      <c r="F55" s="32" t="s">
        <v>400</v>
      </c>
      <c r="G55" s="42" t="s">
        <v>47</v>
      </c>
      <c r="H55" s="40" t="s">
        <v>97</v>
      </c>
      <c r="I55" s="30" t="s">
        <v>62</v>
      </c>
      <c r="J55" s="30" t="s">
        <v>115</v>
      </c>
      <c r="K55" s="28" t="s">
        <v>247</v>
      </c>
      <c r="L55" s="28" t="s">
        <v>377</v>
      </c>
      <c r="M55" s="31"/>
      <c r="N55" s="35"/>
    </row>
    <row r="56" spans="1:14" ht="60" customHeight="1" x14ac:dyDescent="0.3">
      <c r="A56" s="57"/>
      <c r="B56" s="57"/>
      <c r="C56" s="59"/>
      <c r="D56" s="57"/>
      <c r="E56" s="44" t="s">
        <v>169</v>
      </c>
      <c r="F56" s="51" t="s">
        <v>297</v>
      </c>
      <c r="G56" s="21" t="s">
        <v>47</v>
      </c>
      <c r="H56" s="21" t="s">
        <v>54</v>
      </c>
      <c r="I56" s="46"/>
      <c r="J56" s="46"/>
      <c r="K56" s="44" t="s">
        <v>248</v>
      </c>
      <c r="L56" s="44" t="s">
        <v>377</v>
      </c>
      <c r="M56" s="31"/>
      <c r="N56" s="35"/>
    </row>
    <row r="57" spans="1:14" ht="60" customHeight="1" x14ac:dyDescent="0.3">
      <c r="A57" s="56"/>
      <c r="B57" s="56"/>
      <c r="C57" s="58" t="s">
        <v>80</v>
      </c>
      <c r="D57" s="56" t="s">
        <v>131</v>
      </c>
      <c r="E57" s="29" t="s">
        <v>83</v>
      </c>
      <c r="F57" s="32" t="s">
        <v>298</v>
      </c>
      <c r="G57" s="43" t="s">
        <v>47</v>
      </c>
      <c r="H57" s="40" t="s">
        <v>97</v>
      </c>
      <c r="I57" s="30" t="s">
        <v>62</v>
      </c>
      <c r="J57" s="30" t="s">
        <v>117</v>
      </c>
      <c r="K57" s="28" t="s">
        <v>248</v>
      </c>
      <c r="L57" s="28" t="s">
        <v>377</v>
      </c>
      <c r="M57" s="31"/>
      <c r="N57" s="35"/>
    </row>
    <row r="58" spans="1:14" ht="60" customHeight="1" x14ac:dyDescent="0.3">
      <c r="A58" s="56"/>
      <c r="B58" s="56"/>
      <c r="C58" s="58"/>
      <c r="D58" s="56"/>
      <c r="E58" s="29" t="s">
        <v>84</v>
      </c>
      <c r="F58" s="32" t="s">
        <v>281</v>
      </c>
      <c r="G58" s="43" t="s">
        <v>47</v>
      </c>
      <c r="H58" s="40" t="s">
        <v>97</v>
      </c>
      <c r="I58" s="30" t="s">
        <v>62</v>
      </c>
      <c r="J58" s="31" t="s">
        <v>118</v>
      </c>
      <c r="K58" s="28" t="s">
        <v>312</v>
      </c>
      <c r="L58" s="28" t="s">
        <v>377</v>
      </c>
      <c r="M58" s="28"/>
      <c r="N58" s="35"/>
    </row>
    <row r="59" spans="1:14" ht="60" customHeight="1" x14ac:dyDescent="0.3">
      <c r="A59" s="57" t="s">
        <v>96</v>
      </c>
      <c r="B59" s="57" t="s">
        <v>153</v>
      </c>
      <c r="C59" s="44" t="s">
        <v>86</v>
      </c>
      <c r="D59" s="47" t="s">
        <v>282</v>
      </c>
      <c r="E59" s="44" t="s">
        <v>89</v>
      </c>
      <c r="F59" s="45" t="s">
        <v>316</v>
      </c>
      <c r="G59" s="21" t="s">
        <v>46</v>
      </c>
      <c r="H59" s="21" t="s">
        <v>48</v>
      </c>
      <c r="I59" s="46"/>
      <c r="J59" s="46"/>
      <c r="K59" s="44" t="s">
        <v>246</v>
      </c>
      <c r="L59" s="44" t="s">
        <v>377</v>
      </c>
      <c r="M59" s="28"/>
      <c r="N59" s="35"/>
    </row>
    <row r="60" spans="1:14" ht="60" customHeight="1" x14ac:dyDescent="0.3">
      <c r="A60" s="56"/>
      <c r="B60" s="56"/>
      <c r="C60" s="23" t="s">
        <v>87</v>
      </c>
      <c r="D60" s="22" t="s">
        <v>283</v>
      </c>
      <c r="E60" s="23" t="s">
        <v>90</v>
      </c>
      <c r="F60" s="24" t="s">
        <v>329</v>
      </c>
      <c r="G60" s="21" t="s">
        <v>46</v>
      </c>
      <c r="H60" s="21" t="s">
        <v>48</v>
      </c>
      <c r="I60" s="12"/>
      <c r="J60" s="12"/>
      <c r="K60" s="23" t="s">
        <v>312</v>
      </c>
      <c r="L60" s="28" t="s">
        <v>377</v>
      </c>
      <c r="M60" s="28"/>
      <c r="N60" s="35"/>
    </row>
    <row r="61" spans="1:14" ht="60" customHeight="1" x14ac:dyDescent="0.3">
      <c r="A61" s="56" t="s">
        <v>156</v>
      </c>
      <c r="B61" s="56" t="s">
        <v>157</v>
      </c>
      <c r="C61" s="58" t="s">
        <v>91</v>
      </c>
      <c r="D61" s="56" t="s">
        <v>154</v>
      </c>
      <c r="E61" s="28" t="s">
        <v>93</v>
      </c>
      <c r="F61" s="32" t="s">
        <v>299</v>
      </c>
      <c r="G61" s="43" t="s">
        <v>47</v>
      </c>
      <c r="H61" s="40" t="s">
        <v>97</v>
      </c>
      <c r="I61" s="30" t="s">
        <v>62</v>
      </c>
      <c r="J61" s="30" t="s">
        <v>117</v>
      </c>
      <c r="K61" s="28" t="s">
        <v>312</v>
      </c>
      <c r="L61" s="28" t="s">
        <v>377</v>
      </c>
      <c r="M61" s="28"/>
      <c r="N61" s="35"/>
    </row>
    <row r="62" spans="1:14" ht="60" customHeight="1" x14ac:dyDescent="0.3">
      <c r="A62" s="56"/>
      <c r="B62" s="56"/>
      <c r="C62" s="58"/>
      <c r="D62" s="56"/>
      <c r="E62" s="28" t="s">
        <v>94</v>
      </c>
      <c r="F62" s="32" t="s">
        <v>284</v>
      </c>
      <c r="G62" s="43" t="s">
        <v>47</v>
      </c>
      <c r="H62" s="40" t="s">
        <v>97</v>
      </c>
      <c r="I62" s="30" t="s">
        <v>62</v>
      </c>
      <c r="J62" s="30" t="s">
        <v>115</v>
      </c>
      <c r="K62" s="28" t="s">
        <v>247</v>
      </c>
      <c r="L62" s="28" t="s">
        <v>377</v>
      </c>
      <c r="M62" s="28" t="s">
        <v>372</v>
      </c>
      <c r="N62" s="35"/>
    </row>
    <row r="63" spans="1:14" ht="60" customHeight="1" x14ac:dyDescent="0.3">
      <c r="A63" s="56"/>
      <c r="B63" s="56"/>
      <c r="C63" s="28" t="s">
        <v>92</v>
      </c>
      <c r="D63" s="31" t="s">
        <v>355</v>
      </c>
      <c r="E63" s="29" t="s">
        <v>95</v>
      </c>
      <c r="F63" s="32" t="s">
        <v>285</v>
      </c>
      <c r="G63" s="43" t="s">
        <v>47</v>
      </c>
      <c r="H63" s="40" t="s">
        <v>97</v>
      </c>
      <c r="I63" s="30" t="s">
        <v>62</v>
      </c>
      <c r="J63" s="30" t="s">
        <v>117</v>
      </c>
      <c r="K63" s="28" t="s">
        <v>246</v>
      </c>
      <c r="L63" s="28" t="s">
        <v>377</v>
      </c>
      <c r="M63" s="28" t="s">
        <v>371</v>
      </c>
      <c r="N63" s="35"/>
    </row>
    <row r="64" spans="1:14" ht="60" customHeight="1" x14ac:dyDescent="0.3">
      <c r="A64" s="57" t="s">
        <v>134</v>
      </c>
      <c r="B64" s="57" t="s">
        <v>133</v>
      </c>
      <c r="C64" s="44" t="s">
        <v>75</v>
      </c>
      <c r="D64" s="47" t="s">
        <v>356</v>
      </c>
      <c r="E64" s="44" t="s">
        <v>77</v>
      </c>
      <c r="F64" s="45" t="s">
        <v>170</v>
      </c>
      <c r="G64" s="21" t="s">
        <v>46</v>
      </c>
      <c r="H64" s="21" t="s">
        <v>50</v>
      </c>
      <c r="I64" s="46"/>
      <c r="J64" s="46"/>
      <c r="K64" s="44" t="s">
        <v>248</v>
      </c>
      <c r="L64" s="44" t="s">
        <v>377</v>
      </c>
      <c r="M64" s="31" t="s">
        <v>370</v>
      </c>
      <c r="N64" s="35"/>
    </row>
    <row r="65" spans="1:14" s="13" customFormat="1" ht="60" customHeight="1" x14ac:dyDescent="0.3">
      <c r="A65" s="56"/>
      <c r="B65" s="56"/>
      <c r="C65" s="58" t="s">
        <v>76</v>
      </c>
      <c r="D65" s="56" t="s">
        <v>342</v>
      </c>
      <c r="E65" s="20" t="s">
        <v>78</v>
      </c>
      <c r="F65" s="32" t="s">
        <v>338</v>
      </c>
      <c r="G65" s="21" t="s">
        <v>47</v>
      </c>
      <c r="H65" s="21" t="s">
        <v>54</v>
      </c>
      <c r="I65" s="12"/>
      <c r="J65" s="12"/>
      <c r="K65" s="23" t="s">
        <v>248</v>
      </c>
      <c r="L65" s="28" t="s">
        <v>377</v>
      </c>
      <c r="M65" s="31"/>
      <c r="N65" s="35"/>
    </row>
    <row r="66" spans="1:14" s="13" customFormat="1" ht="60" customHeight="1" x14ac:dyDescent="0.3">
      <c r="A66" s="56"/>
      <c r="B66" s="56"/>
      <c r="C66" s="58"/>
      <c r="D66" s="56"/>
      <c r="E66" s="20" t="s">
        <v>343</v>
      </c>
      <c r="F66" s="32" t="s">
        <v>340</v>
      </c>
      <c r="G66" s="21" t="s">
        <v>47</v>
      </c>
      <c r="H66" s="21" t="s">
        <v>54</v>
      </c>
      <c r="I66" s="12"/>
      <c r="J66" s="12"/>
      <c r="K66" s="23" t="s">
        <v>248</v>
      </c>
      <c r="L66" s="28" t="s">
        <v>377</v>
      </c>
      <c r="M66" s="31"/>
      <c r="N66" s="35"/>
    </row>
    <row r="67" spans="1:14" s="13" customFormat="1" ht="60" customHeight="1" x14ac:dyDescent="0.3">
      <c r="A67" s="56"/>
      <c r="B67" s="56"/>
      <c r="C67" s="58"/>
      <c r="D67" s="56"/>
      <c r="E67" s="20" t="s">
        <v>357</v>
      </c>
      <c r="F67" s="32" t="s">
        <v>339</v>
      </c>
      <c r="G67" s="21" t="s">
        <v>47</v>
      </c>
      <c r="H67" s="21" t="s">
        <v>54</v>
      </c>
      <c r="I67" s="12"/>
      <c r="J67" s="12"/>
      <c r="K67" s="23" t="s">
        <v>248</v>
      </c>
      <c r="L67" s="28" t="s">
        <v>377</v>
      </c>
      <c r="M67" s="31"/>
      <c r="N67" s="35"/>
    </row>
    <row r="68" spans="1:14" s="13" customFormat="1" ht="60" customHeight="1" x14ac:dyDescent="0.3">
      <c r="A68" s="56"/>
      <c r="B68" s="56"/>
      <c r="C68" s="58"/>
      <c r="D68" s="56"/>
      <c r="E68" s="54" t="s">
        <v>358</v>
      </c>
      <c r="F68" s="32" t="s">
        <v>374</v>
      </c>
      <c r="G68" s="27" t="s">
        <v>47</v>
      </c>
      <c r="H68" s="27" t="s">
        <v>54</v>
      </c>
      <c r="I68" s="12"/>
      <c r="J68" s="12"/>
      <c r="K68" s="26" t="s">
        <v>255</v>
      </c>
      <c r="L68" s="28" t="s">
        <v>377</v>
      </c>
      <c r="M68" s="31"/>
      <c r="N68" s="35"/>
    </row>
    <row r="69" spans="1:14" s="13" customFormat="1" ht="60" customHeight="1" x14ac:dyDescent="0.3">
      <c r="A69" s="56"/>
      <c r="B69" s="56"/>
      <c r="C69" s="58"/>
      <c r="D69" s="56"/>
      <c r="E69" s="54" t="s">
        <v>403</v>
      </c>
      <c r="F69" s="32" t="s">
        <v>341</v>
      </c>
      <c r="G69" s="21" t="s">
        <v>47</v>
      </c>
      <c r="H69" s="21" t="s">
        <v>54</v>
      </c>
      <c r="I69" s="12"/>
      <c r="J69" s="12"/>
      <c r="K69" s="23" t="s">
        <v>248</v>
      </c>
      <c r="L69" s="28" t="s">
        <v>377</v>
      </c>
      <c r="M69" s="31"/>
      <c r="N69" s="35"/>
    </row>
    <row r="70" spans="1:14" ht="60" customHeight="1" x14ac:dyDescent="0.3">
      <c r="A70" s="56" t="s">
        <v>135</v>
      </c>
      <c r="B70" s="56" t="s">
        <v>136</v>
      </c>
      <c r="C70" s="61" t="s">
        <v>147</v>
      </c>
      <c r="D70" s="56" t="s">
        <v>171</v>
      </c>
      <c r="E70" s="20" t="s">
        <v>139</v>
      </c>
      <c r="F70" s="24" t="s">
        <v>286</v>
      </c>
      <c r="G70" s="21" t="s">
        <v>46</v>
      </c>
      <c r="H70" s="21" t="s">
        <v>50</v>
      </c>
      <c r="I70" s="12"/>
      <c r="J70" s="12"/>
      <c r="K70" s="23" t="s">
        <v>362</v>
      </c>
      <c r="L70" s="28" t="s">
        <v>377</v>
      </c>
      <c r="M70" s="28"/>
      <c r="N70" s="35"/>
    </row>
    <row r="71" spans="1:14" ht="60" customHeight="1" x14ac:dyDescent="0.3">
      <c r="A71" s="56"/>
      <c r="B71" s="56"/>
      <c r="C71" s="61"/>
      <c r="D71" s="56"/>
      <c r="E71" s="20" t="s">
        <v>140</v>
      </c>
      <c r="F71" s="24" t="s">
        <v>287</v>
      </c>
      <c r="G71" s="21" t="s">
        <v>46</v>
      </c>
      <c r="H71" s="21" t="s">
        <v>52</v>
      </c>
      <c r="I71" s="12"/>
      <c r="J71" s="12"/>
      <c r="K71" s="23" t="s">
        <v>250</v>
      </c>
      <c r="L71" s="28" t="s">
        <v>377</v>
      </c>
      <c r="M71" s="28"/>
      <c r="N71" s="35"/>
    </row>
    <row r="72" spans="1:14" ht="60" customHeight="1" x14ac:dyDescent="0.3">
      <c r="A72" s="56"/>
      <c r="B72" s="56"/>
      <c r="C72" s="20" t="s">
        <v>148</v>
      </c>
      <c r="D72" s="21" t="s">
        <v>165</v>
      </c>
      <c r="E72" s="20" t="s">
        <v>141</v>
      </c>
      <c r="F72" s="24" t="s">
        <v>288</v>
      </c>
      <c r="G72" s="21" t="s">
        <v>46</v>
      </c>
      <c r="H72" s="21" t="s">
        <v>51</v>
      </c>
      <c r="I72" s="12"/>
      <c r="J72" s="12"/>
      <c r="K72" s="23" t="s">
        <v>250</v>
      </c>
      <c r="L72" s="28" t="s">
        <v>377</v>
      </c>
      <c r="M72" s="28"/>
      <c r="N72" s="35"/>
    </row>
    <row r="73" spans="1:14" ht="60" customHeight="1" x14ac:dyDescent="0.3">
      <c r="A73" s="56" t="s">
        <v>137</v>
      </c>
      <c r="B73" s="56" t="s">
        <v>138</v>
      </c>
      <c r="C73" s="20" t="s">
        <v>145</v>
      </c>
      <c r="D73" s="21" t="s">
        <v>172</v>
      </c>
      <c r="E73" s="20" t="s">
        <v>142</v>
      </c>
      <c r="F73" s="24" t="s">
        <v>300</v>
      </c>
      <c r="G73" s="21" t="s">
        <v>46</v>
      </c>
      <c r="H73" s="21" t="s">
        <v>50</v>
      </c>
      <c r="I73" s="12"/>
      <c r="J73" s="12"/>
      <c r="K73" s="23" t="s">
        <v>362</v>
      </c>
      <c r="L73" s="28" t="s">
        <v>377</v>
      </c>
      <c r="M73" s="28"/>
      <c r="N73" s="35"/>
    </row>
    <row r="74" spans="1:14" ht="60" customHeight="1" x14ac:dyDescent="0.3">
      <c r="A74" s="56"/>
      <c r="B74" s="56"/>
      <c r="C74" s="29" t="s">
        <v>146</v>
      </c>
      <c r="D74" s="30" t="s">
        <v>163</v>
      </c>
      <c r="E74" s="29" t="s">
        <v>143</v>
      </c>
      <c r="F74" s="32" t="s">
        <v>289</v>
      </c>
      <c r="G74" s="43" t="s">
        <v>47</v>
      </c>
      <c r="H74" s="40" t="s">
        <v>97</v>
      </c>
      <c r="I74" s="30" t="s">
        <v>59</v>
      </c>
      <c r="J74" s="30" t="s">
        <v>104</v>
      </c>
      <c r="K74" s="28" t="s">
        <v>249</v>
      </c>
      <c r="L74" s="28" t="s">
        <v>377</v>
      </c>
      <c r="M74" s="28"/>
      <c r="N74" s="35"/>
    </row>
    <row r="75" spans="1:14" ht="60" customHeight="1" x14ac:dyDescent="0.3">
      <c r="A75" s="56"/>
      <c r="B75" s="56"/>
      <c r="C75" s="30" t="s">
        <v>174</v>
      </c>
      <c r="D75" s="30" t="s">
        <v>164</v>
      </c>
      <c r="E75" s="30" t="s">
        <v>173</v>
      </c>
      <c r="F75" s="32" t="s">
        <v>290</v>
      </c>
      <c r="G75" s="43" t="s">
        <v>47</v>
      </c>
      <c r="H75" s="40" t="s">
        <v>97</v>
      </c>
      <c r="I75" s="30" t="s">
        <v>59</v>
      </c>
      <c r="J75" s="30" t="s">
        <v>104</v>
      </c>
      <c r="K75" s="31" t="s">
        <v>255</v>
      </c>
      <c r="L75" s="28" t="s">
        <v>377</v>
      </c>
      <c r="M75" s="31"/>
      <c r="N75" s="35"/>
    </row>
    <row r="76" spans="1:14" ht="60" customHeight="1" x14ac:dyDescent="0.3">
      <c r="A76" s="57" t="s">
        <v>359</v>
      </c>
      <c r="B76" s="57" t="s">
        <v>360</v>
      </c>
      <c r="C76" s="60" t="s">
        <v>144</v>
      </c>
      <c r="D76" s="62" t="s">
        <v>162</v>
      </c>
      <c r="E76" s="50" t="s">
        <v>175</v>
      </c>
      <c r="F76" s="45" t="s">
        <v>404</v>
      </c>
      <c r="G76" s="21" t="s">
        <v>46</v>
      </c>
      <c r="H76" s="21" t="s">
        <v>50</v>
      </c>
      <c r="I76" s="46"/>
      <c r="J76" s="46"/>
      <c r="K76" s="44" t="s">
        <v>248</v>
      </c>
      <c r="L76" s="44" t="s">
        <v>378</v>
      </c>
      <c r="M76" s="31" t="s">
        <v>369</v>
      </c>
      <c r="N76" s="35" t="s">
        <v>391</v>
      </c>
    </row>
    <row r="77" spans="1:14" ht="60" customHeight="1" x14ac:dyDescent="0.3">
      <c r="A77" s="56"/>
      <c r="B77" s="56"/>
      <c r="C77" s="61"/>
      <c r="D77" s="63"/>
      <c r="E77" s="29" t="s">
        <v>176</v>
      </c>
      <c r="F77" s="15" t="s">
        <v>301</v>
      </c>
      <c r="G77" s="43" t="s">
        <v>47</v>
      </c>
      <c r="H77" s="40" t="s">
        <v>97</v>
      </c>
      <c r="I77" s="30" t="s">
        <v>63</v>
      </c>
      <c r="J77" s="30" t="s">
        <v>119</v>
      </c>
      <c r="K77" s="28" t="s">
        <v>253</v>
      </c>
      <c r="L77" s="28" t="s">
        <v>377</v>
      </c>
      <c r="M77" s="28"/>
      <c r="N77" s="35"/>
    </row>
    <row r="78" spans="1:14" ht="60" customHeight="1" x14ac:dyDescent="0.3">
      <c r="A78" s="47" t="s">
        <v>344</v>
      </c>
      <c r="B78" s="47" t="s">
        <v>152</v>
      </c>
      <c r="C78" s="50" t="s">
        <v>73</v>
      </c>
      <c r="D78" s="52" t="s">
        <v>159</v>
      </c>
      <c r="E78" s="50" t="s">
        <v>74</v>
      </c>
      <c r="F78" s="45" t="s">
        <v>303</v>
      </c>
      <c r="G78" s="21" t="s">
        <v>47</v>
      </c>
      <c r="H78" s="21" t="s">
        <v>55</v>
      </c>
      <c r="I78" s="46"/>
      <c r="J78" s="46"/>
      <c r="K78" s="44" t="s">
        <v>253</v>
      </c>
      <c r="L78" s="44" t="s">
        <v>377</v>
      </c>
      <c r="M78" s="28"/>
      <c r="N78" s="35"/>
    </row>
    <row r="79" spans="1:14" ht="60" customHeight="1" x14ac:dyDescent="0.3">
      <c r="A79" s="56" t="s">
        <v>348</v>
      </c>
      <c r="B79" s="56" t="s">
        <v>158</v>
      </c>
      <c r="C79" s="61" t="s">
        <v>149</v>
      </c>
      <c r="D79" s="64" t="s">
        <v>332</v>
      </c>
      <c r="E79" s="29" t="s">
        <v>150</v>
      </c>
      <c r="F79" s="32" t="s">
        <v>330</v>
      </c>
      <c r="G79" s="43" t="s">
        <v>47</v>
      </c>
      <c r="H79" s="40" t="s">
        <v>97</v>
      </c>
      <c r="I79" s="30" t="s">
        <v>62</v>
      </c>
      <c r="J79" s="30" t="s">
        <v>115</v>
      </c>
      <c r="K79" s="28" t="s">
        <v>247</v>
      </c>
      <c r="L79" s="28" t="s">
        <v>377</v>
      </c>
      <c r="M79" s="31" t="s">
        <v>380</v>
      </c>
      <c r="N79" s="35"/>
    </row>
    <row r="80" spans="1:14" ht="60" customHeight="1" x14ac:dyDescent="0.3">
      <c r="A80" s="56"/>
      <c r="B80" s="56"/>
      <c r="C80" s="61"/>
      <c r="D80" s="64"/>
      <c r="E80" s="29" t="s">
        <v>151</v>
      </c>
      <c r="F80" s="32" t="s">
        <v>302</v>
      </c>
      <c r="G80" s="43" t="s">
        <v>47</v>
      </c>
      <c r="H80" s="40" t="s">
        <v>97</v>
      </c>
      <c r="I80" s="30" t="s">
        <v>62</v>
      </c>
      <c r="J80" s="30" t="s">
        <v>115</v>
      </c>
      <c r="K80" s="28" t="s">
        <v>247</v>
      </c>
      <c r="L80" s="28" t="s">
        <v>377</v>
      </c>
      <c r="M80" s="31" t="s">
        <v>380</v>
      </c>
      <c r="N80" s="35"/>
    </row>
    <row r="81" spans="1:14" ht="60" customHeight="1" x14ac:dyDescent="0.3">
      <c r="A81" s="56"/>
      <c r="B81" s="56"/>
      <c r="C81" s="61" t="s">
        <v>345</v>
      </c>
      <c r="D81" s="56" t="s">
        <v>155</v>
      </c>
      <c r="E81" s="29" t="s">
        <v>346</v>
      </c>
      <c r="F81" s="32" t="s">
        <v>405</v>
      </c>
      <c r="G81" s="43" t="s">
        <v>47</v>
      </c>
      <c r="H81" s="40" t="s">
        <v>97</v>
      </c>
      <c r="I81" s="30" t="s">
        <v>61</v>
      </c>
      <c r="J81" s="30" t="s">
        <v>111</v>
      </c>
      <c r="K81" s="28" t="s">
        <v>246</v>
      </c>
      <c r="L81" s="28" t="s">
        <v>378</v>
      </c>
      <c r="M81" s="31" t="s">
        <v>406</v>
      </c>
      <c r="N81" s="35" t="s">
        <v>393</v>
      </c>
    </row>
    <row r="82" spans="1:14" ht="60" customHeight="1" x14ac:dyDescent="0.3">
      <c r="A82" s="56"/>
      <c r="B82" s="56"/>
      <c r="C82" s="61"/>
      <c r="D82" s="56"/>
      <c r="E82" s="29" t="s">
        <v>347</v>
      </c>
      <c r="F82" s="32" t="s">
        <v>318</v>
      </c>
      <c r="G82" s="43" t="s">
        <v>47</v>
      </c>
      <c r="H82" s="40" t="s">
        <v>97</v>
      </c>
      <c r="I82" s="30" t="s">
        <v>61</v>
      </c>
      <c r="J82" s="30" t="s">
        <v>111</v>
      </c>
      <c r="K82" s="28" t="s">
        <v>252</v>
      </c>
      <c r="L82" s="28" t="s">
        <v>377</v>
      </c>
      <c r="M82" s="28" t="s">
        <v>381</v>
      </c>
      <c r="N82" s="35"/>
    </row>
    <row r="83" spans="1:14" ht="60" customHeight="1" x14ac:dyDescent="0.3">
      <c r="A83" s="56" t="s">
        <v>160</v>
      </c>
      <c r="B83" s="56" t="s">
        <v>161</v>
      </c>
      <c r="C83" s="29" t="s">
        <v>32</v>
      </c>
      <c r="D83" s="30" t="s">
        <v>166</v>
      </c>
      <c r="E83" s="29" t="s">
        <v>34</v>
      </c>
      <c r="F83" s="32" t="s">
        <v>331</v>
      </c>
      <c r="G83" s="43" t="s">
        <v>47</v>
      </c>
      <c r="H83" s="40" t="s">
        <v>97</v>
      </c>
      <c r="I83" s="30" t="s">
        <v>63</v>
      </c>
      <c r="J83" s="30" t="s">
        <v>123</v>
      </c>
      <c r="K83" s="28" t="s">
        <v>252</v>
      </c>
      <c r="L83" s="28" t="s">
        <v>377</v>
      </c>
      <c r="M83" s="28"/>
      <c r="N83" s="35"/>
    </row>
    <row r="84" spans="1:14" ht="60" customHeight="1" x14ac:dyDescent="0.3">
      <c r="A84" s="56"/>
      <c r="B84" s="56"/>
      <c r="C84" s="29" t="s">
        <v>33</v>
      </c>
      <c r="D84" s="30" t="s">
        <v>167</v>
      </c>
      <c r="E84" s="29" t="s">
        <v>35</v>
      </c>
      <c r="F84" s="32" t="s">
        <v>349</v>
      </c>
      <c r="G84" s="43" t="s">
        <v>47</v>
      </c>
      <c r="H84" s="40" t="s">
        <v>97</v>
      </c>
      <c r="I84" s="30" t="s">
        <v>64</v>
      </c>
      <c r="J84" s="30" t="s">
        <v>125</v>
      </c>
      <c r="K84" s="28" t="s">
        <v>253</v>
      </c>
      <c r="L84" s="28" t="s">
        <v>377</v>
      </c>
      <c r="M84" s="28"/>
      <c r="N84" s="35"/>
    </row>
    <row r="85" spans="1:14" ht="60" customHeight="1" x14ac:dyDescent="0.3">
      <c r="N85" s="37"/>
    </row>
    <row r="86" spans="1:14" ht="60" customHeight="1" x14ac:dyDescent="0.3">
      <c r="N86" s="37"/>
    </row>
  </sheetData>
  <autoFilter ref="A1:N84" xr:uid="{E9234C88-5182-4062-A7F7-A1419B95104E}"/>
  <mergeCells count="80">
    <mergeCell ref="A73:A75"/>
    <mergeCell ref="C25:C26"/>
    <mergeCell ref="D25:D26"/>
    <mergeCell ref="B48:B49"/>
    <mergeCell ref="D31:D33"/>
    <mergeCell ref="C31:C33"/>
    <mergeCell ref="D43:D44"/>
    <mergeCell ref="C54:C56"/>
    <mergeCell ref="D54:D56"/>
    <mergeCell ref="B70:B72"/>
    <mergeCell ref="B73:B75"/>
    <mergeCell ref="C39:C40"/>
    <mergeCell ref="D39:D40"/>
    <mergeCell ref="C35:C36"/>
    <mergeCell ref="D35:D36"/>
    <mergeCell ref="D27:D30"/>
    <mergeCell ref="A2:A24"/>
    <mergeCell ref="B2:B24"/>
    <mergeCell ref="B25:B30"/>
    <mergeCell ref="A25:A30"/>
    <mergeCell ref="C27:C30"/>
    <mergeCell ref="C2:C6"/>
    <mergeCell ref="B59:B60"/>
    <mergeCell ref="A59:A60"/>
    <mergeCell ref="A31:A33"/>
    <mergeCell ref="B31:B33"/>
    <mergeCell ref="A54:A58"/>
    <mergeCell ref="B54:B58"/>
    <mergeCell ref="A50:A53"/>
    <mergeCell ref="B50:B53"/>
    <mergeCell ref="A48:A49"/>
    <mergeCell ref="B34:B36"/>
    <mergeCell ref="A37:A38"/>
    <mergeCell ref="B37:B38"/>
    <mergeCell ref="D81:D82"/>
    <mergeCell ref="C70:C71"/>
    <mergeCell ref="D70:D71"/>
    <mergeCell ref="D45:D46"/>
    <mergeCell ref="C45:C46"/>
    <mergeCell ref="C81:C82"/>
    <mergeCell ref="C79:C80"/>
    <mergeCell ref="D52:D53"/>
    <mergeCell ref="C52:C53"/>
    <mergeCell ref="C50:C51"/>
    <mergeCell ref="D50:D51"/>
    <mergeCell ref="D79:D80"/>
    <mergeCell ref="D48:D49"/>
    <mergeCell ref="D61:D62"/>
    <mergeCell ref="D57:D58"/>
    <mergeCell ref="C57:C58"/>
    <mergeCell ref="B83:B84"/>
    <mergeCell ref="B79:B82"/>
    <mergeCell ref="A34:A36"/>
    <mergeCell ref="B45:B47"/>
    <mergeCell ref="A45:A47"/>
    <mergeCell ref="A83:A84"/>
    <mergeCell ref="A61:A63"/>
    <mergeCell ref="B61:B63"/>
    <mergeCell ref="A79:A82"/>
    <mergeCell ref="A39:A44"/>
    <mergeCell ref="A70:A72"/>
    <mergeCell ref="B39:B44"/>
    <mergeCell ref="A76:A77"/>
    <mergeCell ref="B76:B77"/>
    <mergeCell ref="A64:A69"/>
    <mergeCell ref="B64:B69"/>
    <mergeCell ref="C48:C49"/>
    <mergeCell ref="C61:C62"/>
    <mergeCell ref="C43:C44"/>
    <mergeCell ref="C76:C77"/>
    <mergeCell ref="D76:D77"/>
    <mergeCell ref="C65:C69"/>
    <mergeCell ref="D65:D69"/>
    <mergeCell ref="D2:D6"/>
    <mergeCell ref="C7:C11"/>
    <mergeCell ref="D7:D11"/>
    <mergeCell ref="C23:C24"/>
    <mergeCell ref="D23:D24"/>
    <mergeCell ref="C12:C22"/>
    <mergeCell ref="D12:D22"/>
  </mergeCells>
  <phoneticPr fontId="2" type="noConversion"/>
  <conditionalFormatting sqref="M1">
    <cfRule type="cellIs" dxfId="43" priority="5" operator="equal">
      <formula>"Keine"</formula>
    </cfRule>
    <cfRule type="cellIs" dxfId="42" priority="6" operator="equal">
      <formula>"Gering"</formula>
    </cfRule>
    <cfRule type="cellIs" dxfId="41" priority="7" operator="equal">
      <formula>"Mittel"</formula>
    </cfRule>
    <cfRule type="cellIs" dxfId="40" priority="8" operator="equal">
      <formula>"Hoch"</formula>
    </cfRule>
  </conditionalFormatting>
  <conditionalFormatting sqref="N1">
    <cfRule type="cellIs" dxfId="39" priority="1" operator="equal">
      <formula>"Keine"</formula>
    </cfRule>
    <cfRule type="cellIs" dxfId="38" priority="2" operator="equal">
      <formula>"Gering"</formula>
    </cfRule>
    <cfRule type="cellIs" dxfId="37" priority="3" operator="equal">
      <formula>"Mittel"</formula>
    </cfRule>
    <cfRule type="cellIs" dxfId="36" priority="4" operator="equal">
      <formula>"Hoch"</formula>
    </cfRule>
  </conditionalFormatting>
  <dataValidations count="2">
    <dataValidation type="list" allowBlank="1" showInputMessage="1" showErrorMessage="1" sqref="H2:J84" xr:uid="{6098668C-7A25-45B0-8BCD-5D136ED74DE6}">
      <formula1>INDIRECT(G2)</formula1>
    </dataValidation>
    <dataValidation type="list" allowBlank="1" showInputMessage="1" showErrorMessage="1" sqref="L2:L84" xr:uid="{0D019B15-8736-479D-8FDD-8181021DC476}">
      <formula1>"Ja,Nein"</formula1>
    </dataValidation>
  </dataValidations>
  <pageMargins left="0.7" right="0.7" top="0.75" bottom="0.75" header="0.3" footer="0.3"/>
  <pageSetup paperSize="9" scale="30" fitToHeight="0" orientation="portrait" horizont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35F2E979-C11A-4F12-B5CF-FE698E2E39DD}">
          <x14:formula1>
            <xm:f>Classes!$A$2:$A$3</xm:f>
          </x14:formula1>
          <xm:sqref>G2:G84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860B2-B4BF-4D23-BB34-3A317D6DDD34}">
  <sheetPr codeName="Tabelle2"/>
  <dimension ref="A1:L12"/>
  <sheetViews>
    <sheetView zoomScale="85" zoomScaleNormal="85" workbookViewId="0">
      <selection activeCell="D9" sqref="D9"/>
    </sheetView>
  </sheetViews>
  <sheetFormatPr baseColWidth="10" defaultRowHeight="30" customHeight="1" x14ac:dyDescent="0.3"/>
  <cols>
    <col min="3" max="3" width="13.5546875" bestFit="1" customWidth="1"/>
    <col min="4" max="4" width="20.21875" bestFit="1" customWidth="1"/>
    <col min="5" max="5" width="22.5546875" customWidth="1"/>
    <col min="6" max="6" width="21.88671875" customWidth="1"/>
    <col min="7" max="7" width="14.109375" customWidth="1"/>
    <col min="8" max="8" width="17" customWidth="1"/>
    <col min="9" max="9" width="13.21875" bestFit="1" customWidth="1"/>
    <col min="10" max="10" width="14.44140625" bestFit="1" customWidth="1"/>
    <col min="11" max="11" width="15.5546875" customWidth="1"/>
    <col min="12" max="12" width="12.33203125" bestFit="1" customWidth="1"/>
  </cols>
  <sheetData>
    <row r="1" spans="1:12" ht="31.2" customHeight="1" x14ac:dyDescent="0.3">
      <c r="A1" s="4" t="s">
        <v>45</v>
      </c>
      <c r="B1" s="6" t="s">
        <v>46</v>
      </c>
      <c r="C1" s="6" t="s">
        <v>47</v>
      </c>
      <c r="D1" s="6" t="s">
        <v>97</v>
      </c>
      <c r="E1" s="6" t="s">
        <v>127</v>
      </c>
      <c r="F1" s="6" t="s">
        <v>128</v>
      </c>
      <c r="G1" s="6" t="s">
        <v>59</v>
      </c>
      <c r="H1" s="6" t="s">
        <v>60</v>
      </c>
      <c r="I1" s="6" t="s">
        <v>61</v>
      </c>
      <c r="J1" s="6" t="s">
        <v>62</v>
      </c>
      <c r="K1" s="6" t="s">
        <v>63</v>
      </c>
      <c r="L1" s="6" t="s">
        <v>64</v>
      </c>
    </row>
    <row r="2" spans="1:12" ht="30" customHeight="1" x14ac:dyDescent="0.3">
      <c r="A2" s="7" t="s">
        <v>46</v>
      </c>
      <c r="B2" s="7" t="s">
        <v>48</v>
      </c>
      <c r="C2" s="7" t="s">
        <v>97</v>
      </c>
      <c r="D2" s="8" t="s">
        <v>127</v>
      </c>
      <c r="E2" s="5" t="s">
        <v>98</v>
      </c>
      <c r="F2" s="5" t="s">
        <v>101</v>
      </c>
      <c r="G2" s="2" t="s">
        <v>103</v>
      </c>
      <c r="H2" s="5" t="s">
        <v>105</v>
      </c>
      <c r="I2" s="5" t="s">
        <v>110</v>
      </c>
      <c r="J2" s="5" t="s">
        <v>114</v>
      </c>
      <c r="K2" s="5" t="s">
        <v>119</v>
      </c>
      <c r="L2" s="5" t="s">
        <v>124</v>
      </c>
    </row>
    <row r="3" spans="1:12" ht="30" customHeight="1" x14ac:dyDescent="0.3">
      <c r="A3" s="7" t="s">
        <v>47</v>
      </c>
      <c r="B3" s="7" t="s">
        <v>49</v>
      </c>
      <c r="C3" s="7" t="s">
        <v>54</v>
      </c>
      <c r="D3" s="8" t="s">
        <v>128</v>
      </c>
      <c r="E3" s="5" t="s">
        <v>99</v>
      </c>
      <c r="F3" s="5" t="s">
        <v>102</v>
      </c>
      <c r="G3" s="2" t="s">
        <v>104</v>
      </c>
      <c r="H3" s="5" t="s">
        <v>106</v>
      </c>
      <c r="I3" s="5" t="s">
        <v>111</v>
      </c>
      <c r="J3" s="5" t="s">
        <v>115</v>
      </c>
      <c r="K3" s="5" t="s">
        <v>120</v>
      </c>
      <c r="L3" s="5" t="s">
        <v>125</v>
      </c>
    </row>
    <row r="4" spans="1:12" ht="30" customHeight="1" x14ac:dyDescent="0.3">
      <c r="A4" s="7"/>
      <c r="B4" s="7" t="s">
        <v>50</v>
      </c>
      <c r="C4" s="7" t="s">
        <v>55</v>
      </c>
      <c r="D4" s="8" t="s">
        <v>59</v>
      </c>
      <c r="E4" s="5" t="s">
        <v>100</v>
      </c>
      <c r="F4" s="5" t="s">
        <v>130</v>
      </c>
      <c r="G4" s="2"/>
      <c r="H4" s="5" t="s">
        <v>107</v>
      </c>
      <c r="I4" s="5" t="s">
        <v>112</v>
      </c>
      <c r="J4" s="5" t="s">
        <v>116</v>
      </c>
      <c r="K4" s="5" t="s">
        <v>121</v>
      </c>
      <c r="L4" s="5" t="s">
        <v>126</v>
      </c>
    </row>
    <row r="5" spans="1:12" ht="30" customHeight="1" x14ac:dyDescent="0.3">
      <c r="A5" s="7"/>
      <c r="B5" s="7" t="s">
        <v>51</v>
      </c>
      <c r="C5" s="9"/>
      <c r="D5" s="8" t="s">
        <v>60</v>
      </c>
      <c r="E5" s="5"/>
      <c r="F5" s="2"/>
      <c r="G5" s="2"/>
      <c r="H5" s="5" t="s">
        <v>108</v>
      </c>
      <c r="I5" s="5" t="s">
        <v>113</v>
      </c>
      <c r="J5" s="5" t="s">
        <v>117</v>
      </c>
      <c r="K5" s="5" t="s">
        <v>122</v>
      </c>
      <c r="L5" s="2"/>
    </row>
    <row r="6" spans="1:12" ht="30" customHeight="1" x14ac:dyDescent="0.3">
      <c r="A6" s="7"/>
      <c r="B6" s="7" t="s">
        <v>52</v>
      </c>
      <c r="C6" s="9"/>
      <c r="D6" s="8" t="s">
        <v>61</v>
      </c>
      <c r="E6" s="5"/>
      <c r="F6" s="2"/>
      <c r="G6" s="2"/>
      <c r="H6" s="5" t="s">
        <v>109</v>
      </c>
      <c r="I6" s="2"/>
      <c r="J6" s="5" t="s">
        <v>118</v>
      </c>
      <c r="K6" s="5" t="s">
        <v>123</v>
      </c>
      <c r="L6" s="2"/>
    </row>
    <row r="7" spans="1:12" ht="30" customHeight="1" x14ac:dyDescent="0.3">
      <c r="A7" s="9"/>
      <c r="B7" s="9"/>
      <c r="C7" s="9"/>
      <c r="D7" s="8" t="s">
        <v>62</v>
      </c>
      <c r="E7" s="5"/>
      <c r="F7" s="2"/>
      <c r="G7" s="2"/>
      <c r="H7" s="2"/>
      <c r="I7" s="2"/>
      <c r="J7" s="2"/>
      <c r="K7" s="2"/>
      <c r="L7" s="2"/>
    </row>
    <row r="8" spans="1:12" ht="30" customHeight="1" x14ac:dyDescent="0.3">
      <c r="A8" s="10"/>
      <c r="B8" s="10"/>
      <c r="C8" s="9"/>
      <c r="D8" s="8" t="s">
        <v>63</v>
      </c>
      <c r="E8" s="5"/>
      <c r="F8" s="2"/>
      <c r="G8" s="2"/>
      <c r="H8" s="2"/>
      <c r="I8" s="2"/>
      <c r="J8" s="2"/>
      <c r="K8" s="2"/>
      <c r="L8" s="2"/>
    </row>
    <row r="9" spans="1:12" ht="30" customHeight="1" x14ac:dyDescent="0.3">
      <c r="A9" s="10"/>
      <c r="B9" s="10"/>
      <c r="C9" s="9"/>
      <c r="D9" s="8" t="s">
        <v>64</v>
      </c>
      <c r="E9" s="5"/>
      <c r="F9" s="2"/>
      <c r="G9" s="2"/>
      <c r="H9" s="2"/>
      <c r="I9" s="2"/>
      <c r="J9" s="2"/>
      <c r="K9" s="2"/>
      <c r="L9" s="2"/>
    </row>
    <row r="11" spans="1:12" ht="30" customHeight="1" x14ac:dyDescent="0.3">
      <c r="C11" s="11"/>
    </row>
    <row r="12" spans="1:12" ht="30" customHeight="1" x14ac:dyDescent="0.3">
      <c r="C12" s="11" t="s">
        <v>168</v>
      </c>
    </row>
  </sheetData>
  <hyperlinks>
    <hyperlink ref="C12" r:id="rId1" xr:uid="{8A063D29-51DF-4C0F-A2B0-2674BC42BB29}"/>
  </hyperlinks>
  <pageMargins left="0.7" right="0.7" top="0.78740157499999996" bottom="0.78740157499999996" header="0.3" footer="0.3"/>
  <legacyDrawing r:id="rId2"/>
  <tableParts count="12">
    <tablePart r:id="rId3"/>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7CFB-CAD0-42DA-802A-1548A23A26F3}">
  <dimension ref="A1:D7"/>
  <sheetViews>
    <sheetView workbookViewId="0">
      <selection activeCell="C8" sqref="C8"/>
    </sheetView>
  </sheetViews>
  <sheetFormatPr baseColWidth="10" defaultRowHeight="28.8" customHeight="1" x14ac:dyDescent="0.3"/>
  <cols>
    <col min="1" max="1" width="22.77734375" style="2" bestFit="1" customWidth="1"/>
    <col min="2" max="2" width="24" style="2" bestFit="1" customWidth="1"/>
    <col min="3" max="3" width="24.5546875" style="2" bestFit="1" customWidth="1"/>
    <col min="4" max="4" width="22.21875" style="2" bestFit="1" customWidth="1"/>
    <col min="5" max="16384" width="11.5546875" style="2"/>
  </cols>
  <sheetData>
    <row r="1" spans="1:4" s="4" customFormat="1" ht="28.8" customHeight="1" x14ac:dyDescent="0.3">
      <c r="A1" s="4" t="s">
        <v>180</v>
      </c>
      <c r="B1" s="4" t="s">
        <v>187</v>
      </c>
      <c r="C1" s="4" t="s">
        <v>188</v>
      </c>
      <c r="D1" s="4" t="s">
        <v>189</v>
      </c>
    </row>
    <row r="2" spans="1:4" ht="28.8" customHeight="1" x14ac:dyDescent="0.3">
      <c r="A2" s="2" t="s">
        <v>184</v>
      </c>
      <c r="B2" s="2" t="s">
        <v>190</v>
      </c>
      <c r="C2" s="2" t="s">
        <v>190</v>
      </c>
      <c r="D2" s="2" t="s">
        <v>190</v>
      </c>
    </row>
    <row r="3" spans="1:4" ht="28.8" customHeight="1" x14ac:dyDescent="0.3">
      <c r="A3" s="2" t="s">
        <v>181</v>
      </c>
      <c r="B3" s="2" t="s">
        <v>191</v>
      </c>
      <c r="C3" s="2" t="s">
        <v>192</v>
      </c>
      <c r="D3" s="7" t="s">
        <v>200</v>
      </c>
    </row>
    <row r="4" spans="1:4" ht="28.8" customHeight="1" x14ac:dyDescent="0.3">
      <c r="A4" s="2" t="s">
        <v>182</v>
      </c>
      <c r="B4" s="5" t="s">
        <v>199</v>
      </c>
      <c r="C4" s="2" t="s">
        <v>193</v>
      </c>
      <c r="D4" s="2" t="s">
        <v>197</v>
      </c>
    </row>
    <row r="5" spans="1:4" ht="28.8" customHeight="1" x14ac:dyDescent="0.3">
      <c r="A5" s="7" t="s">
        <v>183</v>
      </c>
      <c r="C5" s="2" t="s">
        <v>194</v>
      </c>
      <c r="D5" s="2" t="s">
        <v>198</v>
      </c>
    </row>
    <row r="6" spans="1:4" ht="28.8" customHeight="1" x14ac:dyDescent="0.3">
      <c r="A6" s="2" t="s">
        <v>185</v>
      </c>
      <c r="C6" s="2" t="s">
        <v>195</v>
      </c>
    </row>
    <row r="7" spans="1:4" ht="28.8" customHeight="1" x14ac:dyDescent="0.3">
      <c r="A7" s="2" t="s">
        <v>186</v>
      </c>
      <c r="C7" s="2" t="s">
        <v>196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F103C-AD78-45F4-B288-61D8C1537F9F}">
  <sheetPr codeName="Tabelle3"/>
  <dimension ref="A1:E6"/>
  <sheetViews>
    <sheetView workbookViewId="0">
      <selection activeCell="D6" sqref="D6"/>
    </sheetView>
  </sheetViews>
  <sheetFormatPr baseColWidth="10" defaultRowHeight="14.4" x14ac:dyDescent="0.3"/>
  <cols>
    <col min="1" max="1" width="12.6640625" style="13" bestFit="1" customWidth="1"/>
    <col min="2" max="16384" width="11.5546875" style="13"/>
  </cols>
  <sheetData>
    <row r="1" spans="1:5" x14ac:dyDescent="0.3">
      <c r="B1" s="14" t="s">
        <v>37</v>
      </c>
      <c r="D1" s="14" t="s">
        <v>44</v>
      </c>
    </row>
    <row r="2" spans="1:5" x14ac:dyDescent="0.3">
      <c r="A2" s="3" t="s">
        <v>42</v>
      </c>
      <c r="B2" s="1">
        <f>COUNTA(Requirements!B:B)-1</f>
        <v>19</v>
      </c>
      <c r="C2" s="13" t="s">
        <v>65</v>
      </c>
      <c r="D2" s="1">
        <f>COUNTA(Requirements!A:A)-1</f>
        <v>19</v>
      </c>
      <c r="E2" s="13" t="s">
        <v>66</v>
      </c>
    </row>
    <row r="3" spans="1:5" x14ac:dyDescent="0.3">
      <c r="A3" s="14" t="s">
        <v>43</v>
      </c>
      <c r="B3" s="1">
        <f>COUNTA(Requirements!D:D)-1</f>
        <v>39</v>
      </c>
      <c r="C3" s="13" t="s">
        <v>65</v>
      </c>
      <c r="D3" s="1">
        <f>COUNTA(Requirements!C:C)-1</f>
        <v>39</v>
      </c>
      <c r="E3" s="13" t="s">
        <v>66</v>
      </c>
    </row>
    <row r="4" spans="1:5" x14ac:dyDescent="0.3">
      <c r="A4" s="14" t="s">
        <v>41</v>
      </c>
      <c r="B4" s="1">
        <f>COUNTA(Requirements!F:F)-1</f>
        <v>83</v>
      </c>
      <c r="C4" s="13" t="s">
        <v>65</v>
      </c>
      <c r="D4" s="1">
        <f>COUNTA(Requirements!E:E)-1</f>
        <v>83</v>
      </c>
      <c r="E4" s="13" t="s">
        <v>66</v>
      </c>
    </row>
    <row r="6" spans="1:5" x14ac:dyDescent="0.3">
      <c r="A6" s="14" t="s">
        <v>58</v>
      </c>
      <c r="B6" s="13">
        <f>(COUNTA(Requirements!G:G)-1+COUNTA(Requirements!H:H)-1)/2</f>
        <v>83</v>
      </c>
      <c r="C6" s="13" t="s">
        <v>65</v>
      </c>
      <c r="D6" s="13">
        <f>COUNTA(Requirements!E:E)-1</f>
        <v>83</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1449BB99344D7540AB0E13BA57A63F38" ma:contentTypeVersion="10" ma:contentTypeDescription="Ein neues Dokument erstellen." ma:contentTypeScope="" ma:versionID="a162f7917302c0cf3fe2ff1d36b2bf06">
  <xsd:schema xmlns:xsd="http://www.w3.org/2001/XMLSchema" xmlns:xs="http://www.w3.org/2001/XMLSchema" xmlns:p="http://schemas.microsoft.com/office/2006/metadata/properties" xmlns:ns2="67842a02-e3e0-419a-8116-1fbbd08a145b" xmlns:ns3="40dd1fa2-57cc-4199-bb0b-117a2f50b8c7" targetNamespace="http://schemas.microsoft.com/office/2006/metadata/properties" ma:root="true" ma:fieldsID="888d591bcfc3ada161594f3cd4063b7e" ns2:_="" ns3:_="">
    <xsd:import namespace="67842a02-e3e0-419a-8116-1fbbd08a145b"/>
    <xsd:import namespace="40dd1fa2-57cc-4199-bb0b-117a2f50b8c7"/>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842a02-e3e0-419a-8116-1fbbd08a14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0dd1fa2-57cc-4199-bb0b-117a2f50b8c7" elementFormDefault="qualified">
    <xsd:import namespace="http://schemas.microsoft.com/office/2006/documentManagement/types"/>
    <xsd:import namespace="http://schemas.microsoft.com/office/infopath/2007/PartnerControls"/>
    <xsd:element name="SharedWithUsers" ma:index="14"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E02E58E-468A-460D-8B9A-EAF2D708C4D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19459383-464F-46AC-9B40-808E3BB070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842a02-e3e0-419a-8116-1fbbd08a145b"/>
    <ds:schemaRef ds:uri="40dd1fa2-57cc-4199-bb0b-117a2f50b8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6CA8D61-4C0A-4EAB-B49F-F53519DEFA3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Requirements</vt:lpstr>
      <vt:lpstr>Classes</vt:lpstr>
      <vt:lpstr>UIs</vt:lpstr>
      <vt:lpstr>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Kanz</dc:creator>
  <cp:lastModifiedBy>Sebastian Kanz</cp:lastModifiedBy>
  <cp:lastPrinted>2019-12-07T10:25:57Z</cp:lastPrinted>
  <dcterms:created xsi:type="dcterms:W3CDTF">2019-11-08T13:50:02Z</dcterms:created>
  <dcterms:modified xsi:type="dcterms:W3CDTF">2019-12-07T10:38:02Z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0x0101001449BB99344D7540AB0E13BA57A63F38</vt:lpwstr>
  </property>
</Properties>
</file>