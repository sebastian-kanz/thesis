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DieseArbeitsmappe" defaultThemeVersion="166925"/>
  <mc:AlternateContent xmlns:mc="http://schemas.openxmlformats.org/markup-compatibility/2006">
    <mc:Choice Requires="x15">
      <x15ac:absPath xmlns:x15ac="http://schemas.microsoft.com/office/spreadsheetml/2010/11/ac" url="C:\Users\sebastianka\Git\thesis\iot-usecase\requirements\"/>
    </mc:Choice>
  </mc:AlternateContent>
  <xr:revisionPtr revIDLastSave="0" documentId="13_ncr:1_{94875305-D82D-4E6F-9AD7-BB0267D2FFAE}" xr6:coauthVersionLast="45" xr6:coauthVersionMax="45" xr10:uidLastSave="{00000000-0000-0000-0000-000000000000}"/>
  <bookViews>
    <workbookView xWindow="-108" yWindow="-108" windowWidth="23256" windowHeight="12576" xr2:uid="{C274A9B1-D201-4E3B-96C4-153DF13FE218}"/>
  </bookViews>
  <sheets>
    <sheet name="Requirements" sheetId="1" r:id="rId1"/>
    <sheet name="Classes" sheetId="2" r:id="rId2"/>
    <sheet name="UIs" sheetId="5" r:id="rId3"/>
    <sheet name="Stats" sheetId="3" r:id="rId4"/>
  </sheets>
  <definedNames>
    <definedName name="_xlnm._FilterDatabase" localSheetId="0" hidden="1">Requirements!$A$1:$K$96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6" i="3" l="1"/>
  <c r="D3" i="3" l="1"/>
  <c r="B6" i="3"/>
  <c r="B4" i="3"/>
  <c r="D4" i="3"/>
  <c r="B3" i="3"/>
  <c r="B2" i="3"/>
  <c r="D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tc={FE48567C-4C2D-4C85-AB6C-F5F332BAEB49}</author>
    <author>tc={546B125C-1C4F-42A1-BAA4-77ADAD7A6AF2}</author>
    <author>tc={EFD15302-96B0-4559-88FB-962157B0C5E5}</author>
    <author>tc={A582FAD4-8F80-4838-B8AD-BAB3442429DF}</author>
    <author>tc={0DD66A46-05F3-4DD8-AC4C-A3FEDCC0CBCD}</author>
    <author>tc={116D18FC-65EB-4A8C-BEB7-558E466D8EF6}</author>
    <author>tc={3ECE70EC-41FB-4625-A58D-BD6BD4E036C9}</author>
    <author>tc={85D8B2BA-0A51-42E2-8C11-58F0F422F690}</author>
    <author>tc={A3724B36-0224-4AF1-AF73-863F1357D370}</author>
    <author>tc={7CE5B636-E0AF-499D-873D-1F408CAA98D8}</author>
    <author>tc={D0935EA4-071C-4679-B3BF-29CFB1B14470}</author>
    <author>tc={746C4272-A59B-48D6-834C-4656693CBD7A}</author>
    <author>tc={1B96A1A4-2173-4DDC-B483-795908B24F97}</author>
    <author>tc={5878DFE3-38FC-46FA-8B10-3563EBEF10C5}</author>
    <author>tc={790C0D45-4FCC-4148-B322-07B06F91AA1A}</author>
    <author>tc={F6B6CF07-05F6-47BB-B82B-C67E80977C6F}</author>
    <author>tc={EE5F581D-3968-4671-ACD7-9BD2B6ED44E6}</author>
    <author>tc={42B56D89-09C4-427F-A3A8-7622C2173E4D}</author>
    <author>tc={1539A302-A867-4153-A156-71363699C926}</author>
    <author>tc={298FD523-349F-436E-845C-8CB9EE669485}</author>
    <author>tc={70748A68-2148-400B-AEDA-40BCD9FF4F9E}</author>
    <author>tc={E86D1097-BDAF-44C1-9E03-532330E7C4B9}</author>
    <author>tc={7BEBA469-E5C8-4B06-ADBB-30FED1DE2C6D}</author>
    <author>tc={0AB91D9D-B550-431A-9C55-5F92A0990DEC}</author>
    <author>tc={40AE5847-3C18-4511-88B2-44E278452F6A}</author>
    <author>tc={8E918B05-7032-4AD3-AE1E-FF2B53FDF7B5}</author>
    <author>tc={E96E37F3-6EEB-42D9-8C49-66C4120D1E19}</author>
    <author>tc={44DCF6EF-C659-4D92-9CE9-3819B31F1BBB}</author>
    <author>tc={B13FC58A-3651-4A80-900A-F0E83A39506C}</author>
    <author>tc={C83D61D4-442C-4275-B853-299D54F1DF6E}</author>
    <author>tc={216951EC-912A-4D7E-80AB-3AB895D83564}</author>
    <author>tc={2F186C60-0A74-4E53-8B8C-76D79C5DA9F2}</author>
    <author>tc={A33EB849-A3BC-424D-8B91-C1F5E4F09718}</author>
    <author>tc={4259902A-2AF0-4138-96B8-C2071735D6F4}</author>
    <author>tc={D00104D5-8419-4637-A869-6900872014CA}</author>
    <author>tc={D7EB2023-B72B-43DC-ACA4-9821DDD1252F}</author>
  </authors>
  <commentList>
    <comment ref="B2" authorId="0" shapeId="0" xr:uid="{FE48567C-4C2D-4C85-AB6C-F5F332BAEB4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captures any condition or criteria needed to validate the successful completion of a project  deliverable or fulfillment of other project requirements.</t>
      </text>
    </comment>
    <comment ref="E2" authorId="1" shapeId="0" xr:uid="{546B125C-1C4F-42A1-BAA4-77ADAD7A6AF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the set of functions covers all the specified tasks and user objectives.</t>
      </text>
    </comment>
    <comment ref="F2" authorId="2" shapeId="0" xr:uid="{EFD15302-96B0-4559-88FB-962157B0C5E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the response and processing times and throughput rates of a product or system, when performing its functions, meet requirements.</t>
      </text>
    </comment>
    <comment ref="G2" authorId="3" shapeId="0" xr:uid="{A582FAD4-8F80-4838-B8AD-BAB3442429D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 product can perform its required functions efficiently while sharing a common environment and resources with other products, without detrimental impact on any other product.</t>
      </text>
    </comment>
    <comment ref="H2" authorId="4" shapeId="0" xr:uid="{0DD66A46-05F3-4DD8-AC4C-A3FEDCC0CBC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users can recognize whether a product or system is appropriate for their needs.</t>
      </text>
    </comment>
    <comment ref="I2" authorId="5" shapeId="0" xr:uid="{116D18FC-65EB-4A8C-BEB7-558E466D8EF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 system, product or component meets needs for reliability under normal operation.</t>
      </text>
    </comment>
    <comment ref="J2" authorId="6" shapeId="0" xr:uid="{3ECE70EC-41FB-4625-A58D-BD6BD4E036C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the prototype ensures that data are accessible only to those authorized to have access.</t>
      </text>
    </comment>
    <comment ref="K2" authorId="7" shapeId="0" xr:uid="{85D8B2BA-0A51-42E2-8C11-58F0F422F69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 system or computer program is composed of discrete components such that a change to one component has minimal impact on other components.</t>
      </text>
    </comment>
    <comment ref="L2" authorId="8" shapeId="0" xr:uid="{A3724B36-0224-4AF1-AF73-863F1357D37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 product or system can effectively and efficiently be adapted for different or evolving hardware, software or other operational or usage environments.</t>
      </text>
    </comment>
    <comment ref="B3" authorId="9" shapeId="0" xr:uid="{7CE5B636-E0AF-499D-873D-1F408CAA98D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describes the actions, processes, or other conditions the project needs to meet.</t>
      </text>
    </comment>
    <comment ref="E3" authorId="10" shapeId="0" xr:uid="{D0935EA4-071C-4679-B3BF-29CFB1B1447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the functions provides the correct results with the needed degree of precision.</t>
      </text>
    </comment>
    <comment ref="F3" authorId="11" shapeId="0" xr:uid="{746C4272-A59B-48D6-834C-4656693CBD7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the amounts and types of resources used by a product or system, when performing its functions, meet requirements.</t>
      </text>
    </comment>
    <comment ref="G3" authorId="12" shapeId="0" xr:uid="{1B96A1A4-2173-4DDC-B483-795908B24F9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two or more systems, products or components can exchange information and use the information that has been exchanged.</t>
      </text>
    </comment>
    <comment ref="H3" authorId="13" shapeId="0" xr:uid="{5878DFE3-38FC-46FA-8B10-3563EBEF10C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 product or system enables the user to learn how to use it with effectiveness, efficiency in emergency situations.</t>
      </text>
    </comment>
    <comment ref="I3" authorId="14" shapeId="0" xr:uid="{790C0D45-4FCC-4148-B322-07B06F91AA1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 product or system is operational and accessible when required for use.</t>
      </text>
    </comment>
    <comment ref="J3" authorId="15" shapeId="0" xr:uid="{F6B6CF07-05F6-47BB-B82B-C67E80977C6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 system, product or component prevents unauthorized access to, or modification of, computer programs or data.</t>
      </text>
    </comment>
    <comment ref="K3" authorId="16" shapeId="0" xr:uid="{EE5F581D-3968-4671-ACD7-9BD2B6ED44E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an asset can be used in more than one system, or in building other assets.</t>
      </text>
    </comment>
    <comment ref="L3" authorId="17" shapeId="0" xr:uid="{42B56D89-09C4-427F-A3A8-7622C2173E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of effectiveness and efficiency in which a product or system can be successfully installed and/or uninstalled in a specified environment.</t>
      </text>
    </comment>
    <comment ref="B4" authorId="18" shapeId="0" xr:uid="{1539A302-A867-4153-A156-71363699C92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describes the higher-level needs of the organization as a whole, such as the business issues or opportunities, and reasons why a project has been undertaken.</t>
      </text>
    </comment>
    <comment ref="C4" authorId="19" shapeId="0" xr:uid="{298FD523-349F-436E-845C-8CB9EE66948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essentially a constraint on the development of the software</t>
      </text>
    </comment>
    <comment ref="E4" authorId="20" shapeId="0" xr:uid="{70748A68-2148-400B-AEDA-40BCD9FF4F9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the functions facilitate the accomplishment of specified tasks and objectives.</t>
      </text>
    </comment>
    <comment ref="F4" authorId="21" shapeId="0" xr:uid="{E86D1097-BDAF-44C1-9E03-532330E7C4B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the maximum limits of the product or system, parameter meet requirements.</t>
      </text>
    </comment>
    <comment ref="H4" authorId="22" shapeId="0" xr:uid="{7BEBA469-E5C8-4B06-ADBB-30FED1DE2C6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 product or system is easy to operate, control and appropriate to use.</t>
      </text>
    </comment>
    <comment ref="I4" authorId="23" shapeId="0" xr:uid="{0AB91D9D-B550-431A-9C55-5F92A0990DE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 system, product or component operates as intended despite the presence of hardware or software faults.</t>
      </text>
    </comment>
    <comment ref="J4" authorId="24" shapeId="0" xr:uid="{40AE5847-3C18-4511-88B2-44E278452F6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actions or events can be proven to have taken place, so that the events or actions cannot be repudiated later.</t>
      </text>
    </comment>
    <comment ref="K4" authorId="25" shapeId="0" xr:uid="{8E918B05-7032-4AD3-AE1E-FF2B53FDF7B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of effectiveness and efficiency with which it is possible to assess the impact on a product or system of an intended change to one or more of its parts, or to diagnose a product for deficiencies or causes of failures, or to identify parts to be modified.</t>
      </text>
    </comment>
    <comment ref="L4" authorId="26" shapeId="0" xr:uid="{E96E37F3-6EEB-42D9-8C49-66C4120D1E1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 product can replace another specified software product for the same purpose in the same environment.</t>
      </text>
    </comment>
    <comment ref="B5" authorId="27" shapeId="0" xr:uid="{44DCF6EF-C659-4D92-9CE9-3819B31F1BB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describes needs of a stakeholder or stakeholder group.</t>
      </text>
    </comment>
    <comment ref="H5" authorId="28" shapeId="0" xr:uid="{B13FC58A-3651-4A80-900A-F0E83A39506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 user interface enables pleasing and satisfying interaction for the user.</t>
      </text>
    </comment>
    <comment ref="I5" authorId="29" shapeId="0" xr:uid="{C83D61D4-442C-4275-B853-299D54F1DF6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in the event of an interruption or a failure, a product or system can recover the data directly affected and re-establish the desired state of the system.</t>
      </text>
    </comment>
    <comment ref="J5" authorId="30" shapeId="0" xr:uid="{216951EC-912A-4D7E-80AB-3AB895D8356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the actions of an entity can be traced uniquely to the entity.</t>
      </text>
    </comment>
    <comment ref="K5" authorId="31" shapeId="0" xr:uid="{2F186C60-0A74-4E53-8B8C-76D79C5DA9F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 product or system can be effectively and efficiently modified without introducing defects or degrading existing product quality.</t>
      </text>
    </comment>
    <comment ref="B6" authorId="32" shapeId="0" xr:uid="{A33EB849-A3BC-424D-8B91-C1F5E4F0971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describes temporary capabilities, such as data conversion and training requirements, needed to transition from the current “as-is” state to the future “to-be” state.</t>
      </text>
    </comment>
    <comment ref="H6" authorId="33" shapeId="0" xr:uid="{4259902A-2AF0-4138-96B8-C2071735D6F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 product or system can be used by people with the widest range of characteristics and capabilities to achieve a specified goal in a specified context of use.</t>
      </text>
    </comment>
    <comment ref="J6" authorId="34" shapeId="0" xr:uid="{D00104D5-8419-4637-A869-6900872014C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the identity of a subject or resource can be proved to be the one claimed.</t>
      </text>
    </comment>
    <comment ref="K6" authorId="35" shapeId="0" xr:uid="{D7EB2023-B72B-43DC-ACA4-9821DDD1252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of effectiveness and efficiency with which test criteria can be established for a system, product or component and tests can be performed to determine whether those criteria have been met.</t>
      </text>
    </comment>
  </commentList>
</comments>
</file>

<file path=xl/sharedStrings.xml><?xml version="1.0" encoding="utf-8"?>
<sst xmlns="http://schemas.openxmlformats.org/spreadsheetml/2006/main" count="771" uniqueCount="420">
  <si>
    <t>Task</t>
  </si>
  <si>
    <t>Task M1.1</t>
  </si>
  <si>
    <t>Requirement M1.1.1</t>
  </si>
  <si>
    <t>Requirement M1.1.2</t>
  </si>
  <si>
    <t>Requirement M1.2.1</t>
  </si>
  <si>
    <t>Task M2.1</t>
  </si>
  <si>
    <t>Requirement M2.1.1</t>
  </si>
  <si>
    <t>Task M3.1</t>
  </si>
  <si>
    <t>Task M3.2</t>
  </si>
  <si>
    <t>Requirement M3.1.1</t>
  </si>
  <si>
    <t>Requirement M3.2.1</t>
  </si>
  <si>
    <t>Requirement M3.2.2</t>
  </si>
  <si>
    <t>Die Geräte benötigen eine Verbindung zu der Platform.</t>
  </si>
  <si>
    <t>Die Geräte benötigen Sensoren, um Fehler und Defekte zu detektieren.</t>
  </si>
  <si>
    <t>Story
M1
"Geräte vermieten"</t>
  </si>
  <si>
    <t>"Als Manufacturer benötige ich eine korrekte, nutzungsabhängige und automatische Abrechnung der vermieteten Geräte, die täglich (stündlich) aktualisiert wird, sowie der erbrachten Dienstleistungen, um den Umsatz aufrecht zu erhalten."</t>
  </si>
  <si>
    <t>Story
C1
"Ansicht verfügbarer Geräte"</t>
  </si>
  <si>
    <t>"Als Customer möchte ich verfügbare Haushaltsgeräte angezeigt bekommen, um das passende Gerät mieten zu können."</t>
  </si>
  <si>
    <t>Es muss eine Auflistung aller verfügbarer (mietbarer) Geräte existieren.</t>
  </si>
  <si>
    <t>Es muss sichergestellt werden, dass sich das verfügbare Gerät in keinem Mietverhältnis befindet.</t>
  </si>
  <si>
    <t>Es müssen alle für den Customer relevaten Informationen über das Gerät vorhanden und einsehbar sein.</t>
  </si>
  <si>
    <t>Task C1.1</t>
  </si>
  <si>
    <t>Task C1.2</t>
  </si>
  <si>
    <t>Task C1.3</t>
  </si>
  <si>
    <t>Requirement C1.1.1</t>
  </si>
  <si>
    <t>Requirement C2.1.1</t>
  </si>
  <si>
    <t>Requirement C1.2.1</t>
  </si>
  <si>
    <t>Requirement C1.3.1</t>
  </si>
  <si>
    <t>Task C2.1</t>
  </si>
  <si>
    <t>Task C2.2</t>
  </si>
  <si>
    <t>Requirement C2.2.1</t>
  </si>
  <si>
    <t>Task C3.1</t>
  </si>
  <si>
    <t>Task C3.2</t>
  </si>
  <si>
    <t>"Als Customer möchte ich die gemieteten Geräte reinigen und warten können, um dafür vom Hersteller eine Gutschrift auf mein Vertragskonto zu erhalten."</t>
  </si>
  <si>
    <t>Das Gerät muss die Reinigung / Wartung durch den Customer detektieren können.</t>
  </si>
  <si>
    <t>Es muss sichergestellt werden, dass eine Reinigung / Reparatur dem Gerät bzw. dessen Sensoren nicht vorgespielt werden kann.</t>
  </si>
  <si>
    <t>Der Customer muss vom Gerät eindeutig identifiziert werden können.</t>
  </si>
  <si>
    <t>Die Reinigung / Wartung muss an die Plattform übertragen werden und gemäß des Vertrages abgerechnet werden.</t>
  </si>
  <si>
    <t>Task SP1.1</t>
  </si>
  <si>
    <t>Requirement SP1.1.1</t>
  </si>
  <si>
    <t>Requirement SP1.1.2</t>
  </si>
  <si>
    <t>Task SP2.1</t>
  </si>
  <si>
    <t>Task SP2.2</t>
  </si>
  <si>
    <t>"Als Service-Provider möchte ich nach der Durchführung der Wartung diese mit meinem Smartphone am Gerät bestätigen, um den Service-Auftrag abzuschließen."</t>
  </si>
  <si>
    <t>Es wird eine App benötigt, mit der der Service-Provider seine Identität und die durchgeführte Wartung am Gerät bestätigen kann.</t>
  </si>
  <si>
    <t>Task P1.1</t>
  </si>
  <si>
    <t>Task P1.2</t>
  </si>
  <si>
    <t>Requirement P1.1.1</t>
  </si>
  <si>
    <t>Requirement P1.1.2</t>
  </si>
  <si>
    <t>Requirement P1.2.1</t>
  </si>
  <si>
    <t>Story</t>
  </si>
  <si>
    <t>Description</t>
  </si>
  <si>
    <t>Requirement</t>
  </si>
  <si>
    <t>Akteuere können sich an der Plattform registrieren und gemäß ihrer Rolle miteinander agieren.</t>
  </si>
  <si>
    <t>Requirement M1.1.3</t>
  </si>
  <si>
    <t>Die Geräte benötigen Zugang zum Internet.</t>
  </si>
  <si>
    <t>Die Sensoren, die in den Geräten verbaut sind, müssen in der Lage sein, Fehlerzustände zu detektieren. Tritt ein Fehler auf, wird dieser über die Plattform an den Eigentümer (Manufacturer) gemeldet.</t>
  </si>
  <si>
    <t>Die Geräte müssen den Verbrauch detektieren.</t>
  </si>
  <si>
    <t xml:space="preserve">Die Geräte müssen Sensoren verbaut haben, die den Verbrauch detektieren können. </t>
  </si>
  <si>
    <t>Die Geräte müssen die Verbrauchsdaten an die Platform melden.</t>
  </si>
  <si>
    <t>Die Geräte sammeln und aggregieren Daten über den Verbrauch und senden diese in einem festgelegten Zeitintervall an die Plattform.</t>
  </si>
  <si>
    <t>Requirements</t>
  </si>
  <si>
    <t>User-Stories</t>
  </si>
  <si>
    <t>Tasks</t>
  </si>
  <si>
    <t>Title</t>
  </si>
  <si>
    <t>Es muss eine Oberfläche existieren, auf die der Customer Zugriff hat. Dort hat er die Möglichkeit, alle verfügbaren Geräte aufzulisten.</t>
  </si>
  <si>
    <t>Level-1</t>
  </si>
  <si>
    <t>System</t>
  </si>
  <si>
    <t>Software</t>
  </si>
  <si>
    <t>Quality</t>
  </si>
  <si>
    <t>Project</t>
  </si>
  <si>
    <t>Business</t>
  </si>
  <si>
    <t>Stakeholder</t>
  </si>
  <si>
    <t>Transition</t>
  </si>
  <si>
    <t>Non-Functional</t>
  </si>
  <si>
    <t>Functional</t>
  </si>
  <si>
    <t>Process</t>
  </si>
  <si>
    <t>Class
Level-1</t>
  </si>
  <si>
    <t>Class
Level-2</t>
  </si>
  <si>
    <t>Classified</t>
  </si>
  <si>
    <t>Compatibility</t>
  </si>
  <si>
    <t>Usability</t>
  </si>
  <si>
    <t>Reliability</t>
  </si>
  <si>
    <t>Security</t>
  </si>
  <si>
    <t>Maintainability</t>
  </si>
  <si>
    <t>Portability</t>
  </si>
  <si>
    <t>of</t>
  </si>
  <si>
    <t>defined</t>
  </si>
  <si>
    <t>Der Customer benötigt eine Beschreibung des Geräts. Die Mietkosten des Geräts (Preis pro X) müssen aufgelistet werden.</t>
  </si>
  <si>
    <t>Die auf den Geräten verbauten Sensoren müssen in der Lage sein, eine Reinigung bzw. eine Wartung zu detektieren.</t>
  </si>
  <si>
    <t>Die Sensoren, die die Reinigung / Wartung detektieren, müssen manipulationssicher sein. Diese Funktion ist essentiell, da durch die Reinigung Geldtransaktionen ausgelöst werden. Würden die Sensoren fehlerhaft arbeiten, käme es zu Verlusten.</t>
  </si>
  <si>
    <t>Informationen über durchgeführte Wartungen / Reinigungen müssen authentisch und manipulationssicher detektiert und gespeichert werden. Sie bilden die Basis des Abrechnungsmodells und sind daher von hohem Wert für die Plattform.</t>
  </si>
  <si>
    <t>Es muss sichergestellt werden, dass die Informationen über Wartungen / Reinigungen von dem Gerät selbst kommen. Dazu müssen kryptographische Methoden eingesetzt werden, die die Sicherheit und Authentizität gewährleisten.</t>
  </si>
  <si>
    <t>"Als Service-Provider möchte ich meine Angebotspalette auf der Plattform anbieten können."</t>
  </si>
  <si>
    <t>Story
SP1
"Dienstleitungen bereitstellen"</t>
  </si>
  <si>
    <t>Requirement SP2.1.1</t>
  </si>
  <si>
    <t>Requirement SP2.1.2</t>
  </si>
  <si>
    <t>Requirement SP2.2.1</t>
  </si>
  <si>
    <t>Es muss eine Oberfläche existieren, auf die der Service-Provider Zugriff hat. Dort kann er alle Dienstleitungen, die er anbietet, sowie Detailinformationen, wie zum Beispiel Kosten der Dienstleitung, eintragen und damit auf der Plattform verfügbar machen.</t>
  </si>
  <si>
    <t>Ein Service-Provider muss seine angebotenen Dienstleitungen auf der Plattform eingeben können.</t>
  </si>
  <si>
    <t>Es muss eine Oberfläche existieren, auf die der Service-Provider Zugriff hat. Dort kann er bereits angebotene Diensteleitungen editieren oder löschen.</t>
  </si>
  <si>
    <t>Das Gerät muss den Service-Provider eindeutig identifizieren können. Die Identität des Service-Providers muss fälschungs- und manipulationssicher übertragen werden.</t>
  </si>
  <si>
    <t>Der Service-Provider mit dem Gerät per Smartphone kontaktlos kommunizieren.</t>
  </si>
  <si>
    <t>Es muss eine Smartphone-Oberfläche existieren, auf die der Service-Provider Zugriff hat. Dort kann er sich als er selbst authentifizieren und mit dem Gerät kommunizieren.</t>
  </si>
  <si>
    <t>Befindet sich das Smartphone in der Nähe des Gerätes, kann ein Service-Auftrag gestartet und abgeschlossen werden. Das Gerät tauscht dabei alle relevanten Daten mit dem Smartphone des Service-Providers aus.</t>
  </si>
  <si>
    <t>Task SA1.1</t>
  </si>
  <si>
    <t>Task SA1.2</t>
  </si>
  <si>
    <t>Requirement SA1.1.1</t>
  </si>
  <si>
    <t>Requirement SA1.1.2</t>
  </si>
  <si>
    <t>Requirement SA1.2.1</t>
  </si>
  <si>
    <t>Requirement SA1.2.2</t>
  </si>
  <si>
    <t>Task BD1.1</t>
  </si>
  <si>
    <t>Task BD1.2</t>
  </si>
  <si>
    <t>Requirement BD1.1.1</t>
  </si>
  <si>
    <t>Requirement BD1.1.2</t>
  </si>
  <si>
    <t>Requirement BD1.2.1</t>
  </si>
  <si>
    <t>Task SEC1.1</t>
  </si>
  <si>
    <t>Task SEC1.2</t>
  </si>
  <si>
    <t>Requirement SEC1.1.1</t>
  </si>
  <si>
    <t>Requirement SEC1.1.2</t>
  </si>
  <si>
    <t>Requirement SEC1.2.1</t>
  </si>
  <si>
    <t>Requirement SEC1.2.2</t>
  </si>
  <si>
    <t>Story
SEC1
"Sichere Zahlungsabwicklung"</t>
  </si>
  <si>
    <t>Task SEC2.1</t>
  </si>
  <si>
    <t>Task SEC2.2</t>
  </si>
  <si>
    <t>"Als IT-Security-Beauftragter möchte ich sichergestellt wissen, dass die Zahlungsabwicklung auf der Plattform sicher und voll funktionsfähig ist."</t>
  </si>
  <si>
    <t>Requirement SEC2.1.1</t>
  </si>
  <si>
    <t>Requirement SEC2.2.1</t>
  </si>
  <si>
    <t>Requirement SEC2.2.2</t>
  </si>
  <si>
    <t>Task SEC3.1</t>
  </si>
  <si>
    <t>Task SEC3.2</t>
  </si>
  <si>
    <t>Requirement SEC3.1.1</t>
  </si>
  <si>
    <t>Requirement SEC3.1.2</t>
  </si>
  <si>
    <t>Requirement SEC3.2.1</t>
  </si>
  <si>
    <t>Requirement SEC3.2.2</t>
  </si>
  <si>
    <t>Story
SEC2
"Sichere Kommunikation und signierte Nachrichten"</t>
  </si>
  <si>
    <t>Es muss sichergestellt werden, dass alle beteiligten Vertragsparteien über genügend Geld verfügen, um ihre vertraglichen Pflichten einzuhalten.</t>
  </si>
  <si>
    <t>NonFunctional</t>
  </si>
  <si>
    <t>Functional completeness</t>
  </si>
  <si>
    <t>Functional correctness</t>
  </si>
  <si>
    <t>Functional appropriateness</t>
  </si>
  <si>
    <t>Time behavior</t>
  </si>
  <si>
    <t>Ressource utilization</t>
  </si>
  <si>
    <t>Co-existence</t>
  </si>
  <si>
    <t>Interoperability</t>
  </si>
  <si>
    <t>Appropriateness recognisability</t>
  </si>
  <si>
    <t>Learnability</t>
  </si>
  <si>
    <t>Operability</t>
  </si>
  <si>
    <t>User interface aesthetics</t>
  </si>
  <si>
    <t>Accessability</t>
  </si>
  <si>
    <t>Maturity</t>
  </si>
  <si>
    <t>Availability</t>
  </si>
  <si>
    <t>Fault tolerance</t>
  </si>
  <si>
    <t>Recoverability</t>
  </si>
  <si>
    <t>Confidentiality</t>
  </si>
  <si>
    <t>Integrity</t>
  </si>
  <si>
    <t>Non-repudiation</t>
  </si>
  <si>
    <t>Accountability</t>
  </si>
  <si>
    <t>Authenticity</t>
  </si>
  <si>
    <t>Modularity</t>
  </si>
  <si>
    <t>Reusability</t>
  </si>
  <si>
    <t>Analysability</t>
  </si>
  <si>
    <t>Modifyability</t>
  </si>
  <si>
    <t>Testability</t>
  </si>
  <si>
    <t>Adaptability</t>
  </si>
  <si>
    <t>Installability</t>
  </si>
  <si>
    <t>Replaceability</t>
  </si>
  <si>
    <t>FunctionalitySuitability</t>
  </si>
  <si>
    <t>PerformanceEfficiency</t>
  </si>
  <si>
    <t>Non-Functional
Subcategory</t>
  </si>
  <si>
    <t>Capacity</t>
  </si>
  <si>
    <t>Es muss sichergestellt werden, dass Sender und Empfänger des Geldes eindeutig identifizierbar sind.</t>
  </si>
  <si>
    <t>Task SEC1.3</t>
  </si>
  <si>
    <t>Requirement SEC1.3.1</t>
  </si>
  <si>
    <t>Requirement SEC1.3.2</t>
  </si>
  <si>
    <t>Es muss sichergestellt werden, dass Geldtransfers vom Sender an den Empfänger durchgeführt werden.</t>
  </si>
  <si>
    <t>"Als Business-Developer möchte ich mit dem Geschäftsmodell Pay-As-You-Use einen größeren Kundenbereich ansprechen und den Umsatz steigern."</t>
  </si>
  <si>
    <t>Story
BD1
"Geschäftsmodell"</t>
  </si>
  <si>
    <t>Story
BD2
"Plattform für Partner"</t>
  </si>
  <si>
    <t>"Als Business-Developer möchte ich eine Plattform, die für Partner wie Service-Provider oder Supplier leicht zugänglich ist."</t>
  </si>
  <si>
    <t>Story
BD3
"Hersteller-übergreifende Plattform"</t>
  </si>
  <si>
    <t>Story
BD4
"Hersteller-übergreifende Plattform"</t>
  </si>
  <si>
    <t>"Als Business-Developer möchte ich die Plattform dazu nutzen, künftig weitere Abrechnungsmodelle umzusetzen, um weitere Geschäftsfelder und Kunden zu gewinnen."</t>
  </si>
  <si>
    <t>"Als Business-Developer möchte ich in Zukunft eine Plattform schaffen, auf der Hersteller unterschiedlicher Branchen ihre Produkte nach dem Pay-As-You-Use Prinzip vermieten können, um dem Kunden eine breitere Produktpalette zu bieten."</t>
  </si>
  <si>
    <t>Requirement BD2.1.1</t>
  </si>
  <si>
    <t>Requirement BD2.1.2</t>
  </si>
  <si>
    <t>Requirement BD2.2.1</t>
  </si>
  <si>
    <t>Requirement BD3.1.1</t>
  </si>
  <si>
    <t>Requirement BD3.2.1</t>
  </si>
  <si>
    <t>Requirement BD3.2.2</t>
  </si>
  <si>
    <t>Requirement BD4.1.1</t>
  </si>
  <si>
    <t>Task BD4.1</t>
  </si>
  <si>
    <t>Task BD3.1</t>
  </si>
  <si>
    <t>Task BD3.2</t>
  </si>
  <si>
    <t>Task BD2.1</t>
  </si>
  <si>
    <t>Task BD2.2</t>
  </si>
  <si>
    <t>Story
SA1
"Einfache Einbindung in bestehende Infrastruktur"</t>
  </si>
  <si>
    <t>"Als System-Architekt möchte ich die Plattform möglichst einfach in meine bestehende Systemlandschaft integrieren können."</t>
  </si>
  <si>
    <t>"Als Betreiber der Plattform möchte ich eine möglichst Ressourcen-schonende Plattform, um Kosten zu sparen."</t>
  </si>
  <si>
    <t>Requirement P2.1.1</t>
  </si>
  <si>
    <t>Requirement P2.2.1</t>
  </si>
  <si>
    <t>Task P2.1</t>
  </si>
  <si>
    <t>Task P2.2</t>
  </si>
  <si>
    <t>Task SA2.1</t>
  </si>
  <si>
    <t>Requirement SA2.1.1</t>
  </si>
  <si>
    <t>Requirement SA2.1.2</t>
  </si>
  <si>
    <t>Story
SA2
"Modularer Aufbau"</t>
  </si>
  <si>
    <t>"Als System-Architekt möchte ich eine modular aufgebaute Plattform, damit diese später möglichst einfach erweitert werden kann."</t>
  </si>
  <si>
    <t>Standardisierte APIs</t>
  </si>
  <si>
    <t>Einsetzen von Standard-Techniken wie Docker etc.</t>
  </si>
  <si>
    <t>Ein Nutzer der Plattform hat eine eindeutige Kontonummer mit einem eindeutigen Kontostand.</t>
  </si>
  <si>
    <t>Der Sender eines Geldbetrages kann nur so viel Geld versenden, wie er Guthaben auf seinem Konto hat.</t>
  </si>
  <si>
    <t>Es muss ein Mechanismus existieren, der die Kontostände der beteiligten Parteien überprüft.</t>
  </si>
  <si>
    <t>Der Vertrag muss regeln, was bei Zahlungsunfähigkeit einer Partei passiert.</t>
  </si>
  <si>
    <t>Nur der Inhaber des Kontos selbst hat Zugriff auf dieses und kann Transaktionen tätigen.</t>
  </si>
  <si>
    <t>"Als IT-Security-Beauftragter möchte ich eine verschlüsselte Kommunikation mit der Plattform, damit meine Daten nicht in die Hände von Dritten gelangen."</t>
  </si>
  <si>
    <t>Es muss HTTPS statt HTTP verwendet werden.</t>
  </si>
  <si>
    <t>APIs sind genauso wie grafische Oberflächen per SSL/TLS abzusichern.</t>
  </si>
  <si>
    <t>Die Kommunikation mit der Plattform über grafische Oberflächen muss verschlüsselt werden.</t>
  </si>
  <si>
    <t>Die Kommunikation mit der Plattform über Schnittstellen und APIs muss verschlüsselt werden.</t>
  </si>
  <si>
    <t>Der Einsatz von Keys (z.B. SSH-Keys) oder Token (z.B. Auth-Token) ist dem Einsatz von Passwort-basiertem Login vorzuziehen.</t>
  </si>
  <si>
    <t>Es müssen Vorkehrungen gegen Manipulationen getroffen werden.</t>
  </si>
  <si>
    <t>Daten müssen redundant gehalten werden, damit im Falle eines Crashs keine Daten verloren gehen.</t>
  </si>
  <si>
    <t>Die Plattform darf keinen SPOF haben, damit im Falle eines Crashes das Gesamtsystem weiterhin lauffähig ist.</t>
  </si>
  <si>
    <t>Aktivitäten auf der Plattform müssen geloggt werden.</t>
  </si>
  <si>
    <t>Manipulationen müssen durch den Einsatz kryptographischer Methoden verhindert werden.</t>
  </si>
  <si>
    <t>Story
SEC3
"Manipulationssicherheit"</t>
  </si>
  <si>
    <t>"Als IT-Security-Beauftragter möchte ich eine manipulationssichere Plattform, um die Integrität und Echtheit der Daten zu gewährleisten."</t>
  </si>
  <si>
    <t>Der Zugang zu den Backend-Systemen muss beschränkt und protokolliert werden.</t>
  </si>
  <si>
    <t>"Als System-Architekt möchte ich SPOFs und Datenverlust vermeiden, damit das System auch im Fehlerfall weiter funktionsfähig ist."</t>
  </si>
  <si>
    <t>Die Daten müssen repliziert und mehrfach redundant gehalten werden.</t>
  </si>
  <si>
    <t>Es muss sichergestellt werden, dass im Falle eines Ausfalls keine Inkonistenzen in den Daten entstehen.</t>
  </si>
  <si>
    <t>Story
SA3
"Redundanz"</t>
  </si>
  <si>
    <t>Task SA3.1</t>
  </si>
  <si>
    <t>Task SA3.2</t>
  </si>
  <si>
    <t>Requirement SA3.1.1</t>
  </si>
  <si>
    <t>Requirement SA3.1.2</t>
  </si>
  <si>
    <t>Requirement SA3.2.1</t>
  </si>
  <si>
    <t>Requirement SA3.2.2</t>
  </si>
  <si>
    <t>Funktionalitäten werden in Modulen gekapselt und als Service bereitgestellt.</t>
  </si>
  <si>
    <t>Story
P1
"Deployment &amp; Testing"</t>
  </si>
  <si>
    <t>"Als Betreiber der Plattform möchte ich eine automatisierte und korrekte Bereitstellung der Plattform, um meinen Aufwand zu reduzieren."</t>
  </si>
  <si>
    <t>Das Deployment erfolgt z.B. mittels Docker-Container vollautomatisch.</t>
  </si>
  <si>
    <t>Die Software wird vor dem Deployment automatisch getestet. Falls das Testen fehlschlägt, wird die Software nicht neu deployed.</t>
  </si>
  <si>
    <t>Es wird eine ausreichend detaillierte Dokumentation der Schnittstellen benötigt.</t>
  </si>
  <si>
    <t>Die Anforderungen an die Infrastruktur müssen hinreichend dokumentiert und beschrieben werden.</t>
  </si>
  <si>
    <t>Es müssen Standard-Techniken (wie z.B.REST) für APIs eingesetzt werden.</t>
  </si>
  <si>
    <t>Jedes Modul muss in einem eigenen Docker-Container laufen.</t>
  </si>
  <si>
    <t>Der Code muss möglichst generisch und modular aufgebaut werden.</t>
  </si>
  <si>
    <t>Es müssen Standard-Techniken (wie z.B.Docker, Kubernetes, etc.) eingesetzt werden.</t>
  </si>
  <si>
    <t>Die Einbindung von Verträgen sowie deren Struktur muss möglichst modular und unabhängig geschehen, damit später andere Verträge leicht integriert werden können.</t>
  </si>
  <si>
    <t>Der Aufbau eines Vertrages und dessen Schnittstellen dürfen den Rest der Plattform nicht beeinflussen und müssen leicht austrauschbar sein.</t>
  </si>
  <si>
    <t>Ein Abrechnungsmodell wird in einem Vertag abgebildet.</t>
  </si>
  <si>
    <t>Ein Gerät muss auf der Plattform generisch repräsentiert werden und darf nicht von einem bestimmten Produkttyp oder Hersteller abhängig sein.</t>
  </si>
  <si>
    <t>Die Schnittstellen zwischen Plattform und Gerät müssen generisch gehalten werden.</t>
  </si>
  <si>
    <t>Ein Vertrag muss auf der Plattform generisch repräsentiert werden und darf nicht von einem bestimmten Produkttyp oder Hersteller abhängig sein.</t>
  </si>
  <si>
    <t>Die Schnittstellen zwischen Plattform und Vertrag müssen generisch gehalten werden.</t>
  </si>
  <si>
    <t>Ein Vertrag muss bestimmte Funktionen implementieren (Vorgabe der Plattform), um mit der Platform und dem verknüpften Gerät kommunizieren zu können.</t>
  </si>
  <si>
    <t>Es muss ein Pay-As-You-Use Abrechnungsmodell in einem Vertrag abgebildet werden können.</t>
  </si>
  <si>
    <t>Es müssen Verbrauchsdaten vorliegen, damit der Vertrag nach dem Modell abrechnen kann.</t>
  </si>
  <si>
    <t>Damit ein Gerät nach dem Pay-As-You-Use Modell abgerechnet werden kann, müssen die Verbrauchsdaten korrekt, aktuell und regelmäßig geliefert werden können.</t>
  </si>
  <si>
    <t>Es wird vertraglich festgehalten, wann welcher Stakeholder von wem Geld empfängt.</t>
  </si>
  <si>
    <t>Ein Vertrag muss automatisch Gelder zwischen den festgelegten Parteien transferieren können.</t>
  </si>
  <si>
    <t>Partner müssen als solche identifiziert sein.</t>
  </si>
  <si>
    <t>Zugriffe müssen nachvollziehbar sein.</t>
  </si>
  <si>
    <t>Aktivitäten auf der Plattform müssen einem Account zugeordnet werden können.</t>
  </si>
  <si>
    <t>Es wird nur getestete Software bereitgestellt.</t>
  </si>
  <si>
    <t>Für alle Software-Komponenten müssen Tests geschrieben werden.</t>
  </si>
  <si>
    <t>Die Bereitstellung ist automatisiert.</t>
  </si>
  <si>
    <t>Es dürfen keine Speicherlecks entstehen.</t>
  </si>
  <si>
    <t>Die Infrastruktur ist so aufgebaut, dass nur bei temporärer Spitzenlast neue Ressourcen allokiert werden.</t>
  </si>
  <si>
    <t>Die Infrastruktur wird nach Bedarf angepasst.</t>
  </si>
  <si>
    <t>Die Software ist für die Ressourcen-Schonung optimiert.</t>
  </si>
  <si>
    <t>https://www.codacy.com/blog/iso-25010-software-quality-model/</t>
  </si>
  <si>
    <t>Ein Gerät muss bestimmte Funktionen implementieren, um mit der Platform und dem verknüpften Vertrag kommunizieren zu können.</t>
  </si>
  <si>
    <t xml:space="preserve">Ein korrekt durchgeführter Geldtransfer, der vom Sender getätigt und bestätigt wurde, muss auf der Plattform registriert werden. </t>
  </si>
  <si>
    <t>Es darf keine Transaktion verloren gehen. Bei Nicht-Ausführung müssen die Parteien benachrichtigt werden.</t>
  </si>
  <si>
    <t>Requirement SEC1.1.3</t>
  </si>
  <si>
    <t>Jedes Gerät benötigt individuelle Zugangsdaten zur Plattform.</t>
  </si>
  <si>
    <t>Requirement BD1.1.3</t>
  </si>
  <si>
    <t>Vermietete Geräte werden nach dem Pay-As-You-Use Prinzip abgerechnet.</t>
  </si>
  <si>
    <t>Auf der Plattform müssen unsere Partner (Service-Provider, Supplier, ect.) agieren können.</t>
  </si>
  <si>
    <t>Partner agieren auf der Plattform.</t>
  </si>
  <si>
    <t>Die Plattform muss zukünftig weitere Hersteller zulassen, um ein ganzes Ökosystem von Geräten aller Art dem Customer zugänglich zu machen.</t>
  </si>
  <si>
    <t>Requirement BD3.3.1</t>
  </si>
  <si>
    <t>Requirement BD3.3.2</t>
  </si>
  <si>
    <t>Task BD3.3</t>
  </si>
  <si>
    <t>Es werden in Zukunft weitere Hersteller auf der Plattform ihre Geräte zur Miete anbieten.</t>
  </si>
  <si>
    <t>Task BD4.2</t>
  </si>
  <si>
    <t>Requirement BD4.2.1</t>
  </si>
  <si>
    <t>Requirement BD4.2.2</t>
  </si>
  <si>
    <t>Mit neuen Geschäftspartnern werden in Zukunft zusätzliche Abrechnungsmodelle benötigt.</t>
  </si>
  <si>
    <t>Neue Abrechnungsmodelle sind denkbar und sollen künftig zusätzlich implementiert werden.</t>
  </si>
  <si>
    <t>Die Nutzung der Plattform muss intuitiv und schnell erlernbar sein. Umfangreiche Mitarbeiterschulungen zur Benutzung der Plattform dürfen nicht notwendig sein.</t>
  </si>
  <si>
    <t>Ein Customer muss zunächst mit der Plattform bekannt gemacht werden.</t>
  </si>
  <si>
    <t>Meldet sich ein Customer das erste mal an der Plattform an, so wird ein Einsteiger-Tutorial eingeblendet, welches dem Customer alle relevanten Funktionen erläutert.</t>
  </si>
  <si>
    <t>"Als Customer möchte ich eine intuitve, einfach zu bedienende Oberfläche, um mich gut auf der Plattform zurechtzufinden."</t>
  </si>
  <si>
    <t>Die Funktionen der Plattform müssen für den Customer schnell erlernbar und leicht verständlich sein.</t>
  </si>
  <si>
    <t>Die Plattform muss optisch ansprechend sein.</t>
  </si>
  <si>
    <t>Die Plattform muss für den Customer optisch ansprechend sein.</t>
  </si>
  <si>
    <t>Die Kommunikation erfolgt mittels eines einheitlichen Protokollformats.</t>
  </si>
  <si>
    <t>Jeder Akteur auf der Plattform muss eindeutig identifizierbar sein.</t>
  </si>
  <si>
    <t>Manufacturer</t>
  </si>
  <si>
    <t>Übersicht Mietverträge</t>
  </si>
  <si>
    <t>Detailansicht Mietverträge</t>
  </si>
  <si>
    <t>Mietverträge editieren</t>
  </si>
  <si>
    <t>Übersicht Mietanfragen</t>
  </si>
  <si>
    <t>Übersicht Service-Provider</t>
  </si>
  <si>
    <t>Übersicht Supplier</t>
  </si>
  <si>
    <t>Customer</t>
  </si>
  <si>
    <t>Service-Provider</t>
  </si>
  <si>
    <t>Supplier</t>
  </si>
  <si>
    <t>Registrieren / Anmelden</t>
  </si>
  <si>
    <t>Geräte mieten</t>
  </si>
  <si>
    <t>Services anbieten</t>
  </si>
  <si>
    <t>Angebote editieren</t>
  </si>
  <si>
    <t>Service-Verträge akzeptieren</t>
  </si>
  <si>
    <t>Übersicht Service-Verträge</t>
  </si>
  <si>
    <t>Smartphone / Service</t>
  </si>
  <si>
    <t>Übersicht Lieferverträge</t>
  </si>
  <si>
    <t>Übersicht Lieferaufträge</t>
  </si>
  <si>
    <t>Übersicht laufende Verträge
Kosten &amp; Verbrauch</t>
  </si>
  <si>
    <t>Lieferverträge akzeptieren</t>
  </si>
  <si>
    <t>Story
P2
"Ressourcen"</t>
  </si>
  <si>
    <t>Die Kommunikation der beteiligten Akteure muss innerhalb von 60 Minuten übermittelt werden.</t>
  </si>
  <si>
    <t>Um auf der Plattform agieren zu können, muss sich jeder Akteur zunächst auf der Plattform registrieren und anmelden.</t>
  </si>
  <si>
    <t>Task A1.1</t>
  </si>
  <si>
    <t>Task A1.2</t>
  </si>
  <si>
    <t>Task A1.3</t>
  </si>
  <si>
    <t>Damit Akteure der Plattform vertrauen, darf es nicht möglich sein, die Kommunikation (sobald sie gespeichert ist) nachträglich zu verändern.</t>
  </si>
  <si>
    <t>Die Kommunitkation zwischen den Akteuren muss nachvollziehbar und eindeutig zuordenbar sein. Es muss verhindert werden, dass Nachrichten gelöscht werden können.</t>
  </si>
  <si>
    <t>Verträge enthalten alle für die beteiligten Akteure relevanten Informationen.</t>
  </si>
  <si>
    <t>Verträge können Unterverträge enthalten.</t>
  </si>
  <si>
    <t>Beteiligte Akteure müssen einem Vertrag erst aktiv zustimmen, damit dieser wirksam wird. Dies gilt auch bei Vertragsänderung.</t>
  </si>
  <si>
    <t>Die Kommunikation erfolgt in Form von Nachrichten.</t>
  </si>
  <si>
    <t>Akteure können über die Plattform Verträge miteinander abschließen.</t>
  </si>
  <si>
    <t>Handlungsanweisungen, Abrechnung und Interaktion zwischen Akteuren werden durch Verträge abgebildet.</t>
  </si>
  <si>
    <t>Story
A1
"Agieren auf Plattform"</t>
  </si>
  <si>
    <t>Task M1.2</t>
  </si>
  <si>
    <t>Akteure können über die Plattform miteinander kommunizieren.</t>
  </si>
  <si>
    <t>Einem Vertrag geht eine Anfrage voraus. Der angefragte Akteur beantwortet diese Anfrage mit einem Vertrag (Akzeptanz) oder mit einer Nachricht (Ablehnung).</t>
  </si>
  <si>
    <t>Nachrichteninhalte können nur von den beteiligten Akteuren eingesehen werden.</t>
  </si>
  <si>
    <t>Verträge werden automatisch prozessiert und sind nicht manipulierbar.</t>
  </si>
  <si>
    <t xml:space="preserve">Verträge haben einen Status. Diese können "Aktiv", "Erzeugung" oder "Inaktiv" sein. </t>
  </si>
  <si>
    <t>Vertragsinhalte können nur von den beteiligten Akteuren eingesehen und bearbeitet werden</t>
  </si>
  <si>
    <t>Es dürfen nur solche Geräte in der Auflistung auftauchen, die in keinem Mietvertrag enthalten sind oder dessen Mietvertrag den Status "Inaktiv" hat.</t>
  </si>
  <si>
    <t>Der Customer muss dem Gerät seine Identität übermitteln können. Dazu wird eine Schnittstelle (z.B. NFC) zwischen Gerät und Customer benötigt.</t>
  </si>
  <si>
    <t>Das Gerät benötigt eine Schittstelle zum Smartphone des Service-Providers (z.B. NFC), um mit dem Service-Provider über dessen Smartphone kommunizieren zu können.</t>
  </si>
  <si>
    <t>Es muss eine Oberfläche existieren, auf die jeder Akteur Zugriff hat. Dort kann er sich registrieren und anmelden.</t>
  </si>
  <si>
    <t>Ein Gerät ist Eigentum eines Manufacturers. Ein Manufacturer kann beliebig viele Geräte besitzen und über die Plattform vermieten.</t>
  </si>
  <si>
    <t>Die Verbrauchsdaten müssen authentisch und manipulationssicher detektiert und gespeichert und an die Plattform übermittelt werden. Sie bilden die Basis des Abrechnungsmodells und sind daher von hohem Wert für die Plattform.</t>
  </si>
  <si>
    <t>"Als Manufacturer möchte ich in der Lage sein, Verträge anzulegen, um meine Geräte über die Plattform vermieten zu können."</t>
  </si>
  <si>
    <t>Requirement A1.1.1</t>
  </si>
  <si>
    <t>Requirement A1.1.2</t>
  </si>
  <si>
    <t>Requirement A1.1.3</t>
  </si>
  <si>
    <t>Requirement A1.1.4</t>
  </si>
  <si>
    <t>Requirement A1.1.5</t>
  </si>
  <si>
    <t>Requirement A1.2.1</t>
  </si>
  <si>
    <t>Requirement A1.2.2</t>
  </si>
  <si>
    <t>Requirement A1.2.3</t>
  </si>
  <si>
    <t>Requirement A1.2.4</t>
  </si>
  <si>
    <t>Requirement A1.2.5</t>
  </si>
  <si>
    <t>Requirement A1.2.6</t>
  </si>
  <si>
    <t>Requirement A1.3.1</t>
  </si>
  <si>
    <t>Requirement A1.3.2</t>
  </si>
  <si>
    <t>Requirement A1.3.3</t>
  </si>
  <si>
    <t>Requirement A1.3.4</t>
  </si>
  <si>
    <t>Requirement A1.3.5</t>
  </si>
  <si>
    <t>Requirement A1.3.6</t>
  </si>
  <si>
    <t>Requirement A1.3.7</t>
  </si>
  <si>
    <t>Requirement A1.3.8</t>
  </si>
  <si>
    <t>Story
M2
"Verträge erzeugen"</t>
  </si>
  <si>
    <t>Requirement M2.1.2</t>
  </si>
  <si>
    <t>Requirement M2.1.3</t>
  </si>
  <si>
    <t>"Als Manufacturer möchte ich meine Geräte über die Plattform vermieten können, um meinen Umsatz zu steigern."</t>
  </si>
  <si>
    <t>Requirement A1.3.9</t>
  </si>
  <si>
    <t>Verträge werden automatisch abgerechnet.</t>
  </si>
  <si>
    <t>Task A1.4</t>
  </si>
  <si>
    <t>Akteure benötigen grafische Oberflächen zum Agieren auf der Plattform.</t>
  </si>
  <si>
    <t>Requirement A1.3.10</t>
  </si>
  <si>
    <t>Requirement A1.4.1</t>
  </si>
  <si>
    <t>Es muss eine Oberfläche existieren, auf die der Akteur Zugriff hat. Dort hat er eine detaillierte Übersicht über einen seiner Verträge und kann sich Detailinformationen dazu ansehen. Außerdem sieht er eine Übersicht über alle Nachrichten, die mit diesem Verträg in Verbindung stehen und den Vertrag bearbeiten.</t>
  </si>
  <si>
    <t>Story
M3
"Verträge abrechnen"</t>
  </si>
  <si>
    <t>Es muss eine Oberfläche existieren, auf die der Akteur Zugriff hat. Dort hat er eine Übersicht über alle seiner Verträge sowie aggregierte Informationen wie Anzahl aller Verträge, Kontostand, etc. Es werden ebenfalls angebotene Verträge angezeigt, die angenommen oder abgelehnt werden können.</t>
  </si>
  <si>
    <t>Story
C2
"Geräte warten"</t>
  </si>
  <si>
    <t>Task C2.3</t>
  </si>
  <si>
    <t>Task C2.4</t>
  </si>
  <si>
    <t>Requirement C2.3.1</t>
  </si>
  <si>
    <t>Requirement C2.4.1</t>
  </si>
  <si>
    <t>Requirement C2.4.2</t>
  </si>
  <si>
    <t>Story
C3
"Einfache Bedienbarkeit der Plattform"</t>
  </si>
  <si>
    <t>Requirement C3.1</t>
  </si>
  <si>
    <t>Requirement C3.2</t>
  </si>
  <si>
    <t>Requirement C3..1</t>
  </si>
  <si>
    <t>Story
SP2
"Service-Aufträge abschließen"</t>
  </si>
  <si>
    <t>Requirement SP2.2.2</t>
  </si>
  <si>
    <t>Es muss eine Oberfläche existieren, auf die jeder Akteur Zugriff hat. Dort kann er Vertragsanfragen erstellen. Auf der Empfängerseite muss eine Oberfläche existieren, die diese Anfragen anzeigt.</t>
  </si>
  <si>
    <t>Ein Manufacturer kann Verträge erzeugen.</t>
  </si>
  <si>
    <t>Es muss eine Oberfläche existieren, auf die der Manufacturer Zugriff hat. Dort kann er Mietverträge erzeugen und als Antwort auf seine Mietanfrage an den Customer senden.</t>
  </si>
  <si>
    <t>Es muss eine Oberfläche existieren, auf die der Manufacturer Zugriff hat. Dort kann er alle Supplier einsehen, Lieferverträge erzeugen und an den Supplier senden.</t>
  </si>
  <si>
    <t>Es muss eine Oberfläche existieren, auf die der Manufacturer Zugriff hat. Dort kann er alle Service-Provider und deren Dienstleistungen einsehen, Service-Verträge erzeugen und an einen Service-Provider senden.</t>
  </si>
  <si>
    <t>"Als Akteur möchte ich in meiner Rolle als [X] auf der Plattform agieren."</t>
  </si>
  <si>
    <t xml:space="preserve">Ein Akteur agiert immer mit einer bestimmten Rolle auf der Plattform: Manufacturer, Customer, Supplier, Service-Provider oder Gerät. Im Allgemeinen kann ein Akteur mehrere Rollen haben. </t>
  </si>
  <si>
    <t>Die Rolle eines Akteurs muss verifiziert werden. Nicht jeder Akteur darf z.B. als Manufacturer auftreten können. Es muss sichergestellt werden, dass es sich dabei auch um einen Hersteller handelt.</t>
  </si>
  <si>
    <t>Die Gesamt-Architektur muss dezentral aufgebaut sein, sodass es möglichst wenig Abhängigkeiten gibt und kein zentraler SPOF existiert.</t>
  </si>
  <si>
    <t>Die Funktionalität wird parallel auf mehreren Nodes ausgeführt.</t>
  </si>
  <si>
    <t>Requirement A1.3.11</t>
  </si>
  <si>
    <t>Verträge müssen angepasst werden können.</t>
  </si>
  <si>
    <t>GUI</t>
  </si>
  <si>
    <t>Identität</t>
  </si>
  <si>
    <t>Kommunikation</t>
  </si>
  <si>
    <t>Datenintegrität</t>
  </si>
  <si>
    <t>Finanzen</t>
  </si>
  <si>
    <t>Endgerät</t>
  </si>
  <si>
    <t>UX</t>
  </si>
  <si>
    <t>Typ</t>
  </si>
  <si>
    <t>Der Prozess zur Prüfung, dass es sich z.B. bei einem Service-Provider auch tatsächlich um einen solchen handelt, muss möglichst benutzerfreundlich sein und so schnell und einfach wie möglich umsetzbar sein.</t>
  </si>
  <si>
    <t>Entwicklung</t>
  </si>
  <si>
    <t>Daten</t>
  </si>
  <si>
    <t>Deployment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</si>
</sst>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sz val="8"/>
      <name val="Calibri"/>
      <family val="2"/>
      <scheme val="minor"/>
    </font>
    <font>
      <u/>
      <sz val="11"/>
      <color theme="10"/>
      <name val="Calibri"/>
      <family val="2"/>
      <scheme val="minor"/>
    </font>
  </fonts>
  <fills count="4">
    <fill>
      <patternFill patternType="none"/>
    </fill>
    <fill>
      <patternFill patternType="gray125"/>
    </fill>
    <fill>
      <patternFill patternType="solid">
        <fgColor rgb="FFFFFFFF"/>
        <bgColor indexed="64"/>
      </patternFill>
    </fill>
    <fill>
      <patternFill patternType="solid">
        <fgColor rgb="FFC8C8C8"/>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style="thin">
        <color indexed="64"/>
      </right>
      <top/>
      <bottom style="thick">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style="thick">
        <color indexed="64"/>
      </left>
      <right style="thin">
        <color indexed="64"/>
      </right>
      <top/>
      <bottom/>
      <diagonal/>
    </border>
    <border>
      <left style="thick">
        <color indexed="64"/>
      </left>
      <right style="thin">
        <color indexed="64"/>
      </right>
      <top/>
      <bottom style="thick">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s>
  <cellStyleXfs count="2">
    <xf numFmtId="0" fontId="0" fillId="0" borderId="0"/>
    <xf numFmtId="0" fontId="3" fillId="0" borderId="0" applyNumberFormat="0" applyFill="0" applyBorder="0" applyAlignment="0" applyProtection="0"/>
  </cellStyleXfs>
  <cellXfs count="73">
    <xf numFmtId="0" fontId="0" fillId="0" borderId="0" xfId="0"/>
    <xf numFmtId="0" fontId="0" fillId="0" borderId="0" xfId="0" applyFont="1" applyAlignment="1">
      <alignment horizontal="center" vertical="center"/>
    </xf>
    <xf numFmtId="0" fontId="0" fillId="0" borderId="0" xfId="0" applyAlignment="1">
      <alignment horizontal="center" vertical="center"/>
    </xf>
    <xf numFmtId="0" fontId="1" fillId="0" borderId="0"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wrapText="1"/>
    </xf>
    <xf numFmtId="0" fontId="0" fillId="0" borderId="0" xfId="0" applyFill="1" applyAlignment="1">
      <alignment horizontal="center" vertical="center"/>
    </xf>
    <xf numFmtId="0" fontId="0" fillId="0" borderId="0" xfId="0" applyFill="1" applyAlignment="1">
      <alignment horizontal="center" vertical="center" wrapText="1"/>
    </xf>
    <xf numFmtId="0" fontId="0" fillId="0" borderId="0" xfId="0" applyFill="1"/>
    <xf numFmtId="0" fontId="0" fillId="0" borderId="0" xfId="0" applyFill="1" applyAlignment="1">
      <alignment vertical="center"/>
    </xf>
    <xf numFmtId="0" fontId="3" fillId="0" borderId="0" xfId="1"/>
    <xf numFmtId="0" fontId="0" fillId="3" borderId="1" xfId="0" applyFill="1" applyBorder="1" applyAlignment="1">
      <alignment horizontal="center" vertical="center" wrapText="1"/>
    </xf>
    <xf numFmtId="0" fontId="0" fillId="0" borderId="0" xfId="0" applyAlignment="1">
      <alignment horizontal="center" vertical="center"/>
    </xf>
    <xf numFmtId="0" fontId="1" fillId="0" borderId="0" xfId="0" applyFont="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0" fillId="0" borderId="1" xfId="0" applyBorder="1" applyAlignment="1">
      <alignment horizontal="center" vertical="center" wrapText="1"/>
    </xf>
    <xf numFmtId="0" fontId="0" fillId="0" borderId="1" xfId="0" applyBorder="1" applyAlignment="1">
      <alignment horizontal="center" vertical="center"/>
    </xf>
    <xf numFmtId="0" fontId="0" fillId="0" borderId="1" xfId="0" applyFill="1" applyBorder="1" applyAlignment="1">
      <alignment horizontal="center" vertical="center" wrapText="1"/>
    </xf>
    <xf numFmtId="0" fontId="0" fillId="0" borderId="4" xfId="0" applyBorder="1" applyAlignment="1">
      <alignment horizontal="center" vertical="center" wrapText="1"/>
    </xf>
    <xf numFmtId="0" fontId="0" fillId="0" borderId="4" xfId="0" applyBorder="1" applyAlignment="1">
      <alignment horizontal="center" vertical="center"/>
    </xf>
    <xf numFmtId="0" fontId="0" fillId="2" borderId="1" xfId="0" applyFill="1" applyBorder="1" applyAlignment="1">
      <alignment horizontal="center" vertical="center"/>
    </xf>
    <xf numFmtId="0" fontId="0" fillId="2" borderId="1" xfId="0" applyFill="1" applyBorder="1" applyAlignment="1">
      <alignment horizontal="center" vertical="center" wrapText="1"/>
    </xf>
    <xf numFmtId="0" fontId="0" fillId="0" borderId="4" xfId="0" applyFill="1" applyBorder="1" applyAlignment="1">
      <alignment horizontal="center" vertical="center" wrapText="1"/>
    </xf>
    <xf numFmtId="0" fontId="0" fillId="3" borderId="4" xfId="0" applyFill="1" applyBorder="1" applyAlignment="1">
      <alignment horizontal="center" vertical="center" wrapText="1"/>
    </xf>
    <xf numFmtId="0" fontId="0" fillId="0" borderId="5" xfId="0" applyBorder="1" applyAlignment="1">
      <alignment horizontal="center" vertical="center"/>
    </xf>
    <xf numFmtId="0" fontId="0" fillId="0" borderId="5" xfId="0" applyFill="1" applyBorder="1" applyAlignment="1">
      <alignment horizontal="center" vertical="center" wrapText="1"/>
    </xf>
    <xf numFmtId="0" fontId="0" fillId="2" borderId="5" xfId="0" applyFill="1" applyBorder="1" applyAlignment="1">
      <alignment horizontal="center" vertical="center" wrapText="1"/>
    </xf>
    <xf numFmtId="0" fontId="0" fillId="3" borderId="5" xfId="0" applyFill="1" applyBorder="1" applyAlignment="1">
      <alignment horizontal="center" vertical="center" wrapText="1"/>
    </xf>
    <xf numFmtId="0" fontId="0" fillId="2" borderId="4" xfId="0" applyFill="1" applyBorder="1" applyAlignment="1">
      <alignment horizontal="center" vertical="center" wrapText="1"/>
    </xf>
    <xf numFmtId="0" fontId="0" fillId="0" borderId="7" xfId="0" applyBorder="1" applyAlignment="1">
      <alignment horizontal="center" vertical="center"/>
    </xf>
    <xf numFmtId="0" fontId="0" fillId="0" borderId="7" xfId="0" applyFill="1" applyBorder="1" applyAlignment="1">
      <alignment horizontal="center" vertical="center" wrapText="1"/>
    </xf>
    <xf numFmtId="0" fontId="0" fillId="0" borderId="7" xfId="0" applyBorder="1" applyAlignment="1">
      <alignment horizontal="center" vertical="center" wrapText="1"/>
    </xf>
    <xf numFmtId="0" fontId="0" fillId="2" borderId="10" xfId="0" applyFill="1" applyBorder="1" applyAlignment="1">
      <alignment horizontal="center" vertical="center" wrapText="1"/>
    </xf>
    <xf numFmtId="0" fontId="0" fillId="3" borderId="10" xfId="0" applyFill="1" applyBorder="1" applyAlignment="1">
      <alignment horizontal="center" vertical="center" wrapText="1"/>
    </xf>
    <xf numFmtId="0" fontId="0" fillId="0" borderId="10" xfId="0" applyBorder="1" applyAlignment="1">
      <alignment horizontal="center" vertical="center" wrapText="1"/>
    </xf>
    <xf numFmtId="0" fontId="0" fillId="2" borderId="5" xfId="0" applyFill="1" applyBorder="1" applyAlignment="1">
      <alignment horizontal="center" vertical="center"/>
    </xf>
    <xf numFmtId="0" fontId="0" fillId="2" borderId="8" xfId="0" applyFill="1" applyBorder="1" applyAlignment="1">
      <alignment horizontal="center" vertical="center" wrapText="1"/>
    </xf>
    <xf numFmtId="0" fontId="0" fillId="2" borderId="12" xfId="0" applyFill="1" applyBorder="1" applyAlignment="1">
      <alignment horizontal="center" vertical="center" wrapText="1"/>
    </xf>
    <xf numFmtId="0" fontId="0" fillId="2" borderId="7" xfId="0" applyFill="1" applyBorder="1" applyAlignment="1">
      <alignment horizontal="center" vertical="center" wrapText="1"/>
    </xf>
    <xf numFmtId="0" fontId="0" fillId="3" borderId="12" xfId="0" applyFill="1" applyBorder="1" applyAlignment="1">
      <alignment horizontal="center" vertical="center" wrapText="1"/>
    </xf>
    <xf numFmtId="0" fontId="0" fillId="3" borderId="18" xfId="0" applyFill="1" applyBorder="1" applyAlignment="1">
      <alignment horizontal="center" vertical="center" wrapText="1"/>
    </xf>
    <xf numFmtId="0" fontId="1" fillId="0" borderId="19" xfId="0" applyFont="1" applyBorder="1" applyAlignment="1">
      <alignment horizontal="center" vertical="center"/>
    </xf>
    <xf numFmtId="0" fontId="1" fillId="0" borderId="20" xfId="0" applyFont="1" applyBorder="1" applyAlignment="1">
      <alignment horizontal="center" vertical="center"/>
    </xf>
    <xf numFmtId="0" fontId="1" fillId="0" borderId="20" xfId="0" applyFont="1" applyFill="1" applyBorder="1" applyAlignment="1">
      <alignment horizontal="center" vertical="center"/>
    </xf>
    <xf numFmtId="0" fontId="1" fillId="0" borderId="20" xfId="0" applyFont="1" applyBorder="1" applyAlignment="1">
      <alignment horizontal="center" vertical="center" wrapText="1"/>
    </xf>
    <xf numFmtId="0" fontId="1" fillId="0" borderId="21" xfId="0" applyFont="1" applyFill="1"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horizontal="center" vertical="center" wrapText="1"/>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0" fillId="0" borderId="9" xfId="0" applyBorder="1" applyAlignment="1">
      <alignment horizontal="center" vertical="center" wrapText="1"/>
    </xf>
    <xf numFmtId="0" fontId="0" fillId="0" borderId="5" xfId="0" applyBorder="1" applyAlignment="1">
      <alignment horizontal="center" vertical="center" wrapText="1"/>
    </xf>
    <xf numFmtId="0" fontId="0" fillId="0" borderId="11" xfId="0" applyBorder="1" applyAlignment="1">
      <alignment horizontal="center" vertical="center" wrapText="1"/>
    </xf>
    <xf numFmtId="0" fontId="0" fillId="0" borderId="4" xfId="0" applyBorder="1" applyAlignment="1">
      <alignment horizontal="center" vertical="center"/>
    </xf>
    <xf numFmtId="0" fontId="0" fillId="0" borderId="4" xfId="0" applyBorder="1" applyAlignment="1">
      <alignment horizontal="center" vertical="center" wrapText="1"/>
    </xf>
    <xf numFmtId="0" fontId="0" fillId="0" borderId="2" xfId="0" applyBorder="1" applyAlignment="1">
      <alignment horizontal="center" vertical="center"/>
    </xf>
    <xf numFmtId="0" fontId="0" fillId="0" borderId="6" xfId="0" applyBorder="1" applyAlignment="1">
      <alignment horizontal="center" vertical="center"/>
    </xf>
    <xf numFmtId="0" fontId="0" fillId="0" borderId="2" xfId="0" applyBorder="1" applyAlignment="1">
      <alignment horizontal="center" vertical="center" wrapText="1"/>
    </xf>
    <xf numFmtId="0" fontId="0" fillId="0" borderId="6" xfId="0" applyBorder="1" applyAlignment="1">
      <alignment horizontal="center" vertical="center" wrapText="1"/>
    </xf>
    <xf numFmtId="0" fontId="0" fillId="0" borderId="3" xfId="0" applyBorder="1" applyAlignment="1">
      <alignment horizontal="center" vertical="center" wrapText="1"/>
    </xf>
    <xf numFmtId="0" fontId="0" fillId="0" borderId="3" xfId="0" applyBorder="1" applyAlignment="1">
      <alignment horizontal="center" vertical="center"/>
    </xf>
    <xf numFmtId="0" fontId="0" fillId="0" borderId="17" xfId="0" applyBorder="1" applyAlignment="1">
      <alignment horizontal="center" vertical="center" wrapText="1"/>
    </xf>
    <xf numFmtId="0" fontId="0" fillId="0" borderId="5" xfId="0" applyBorder="1" applyAlignment="1">
      <alignment horizontal="center" vertical="center"/>
    </xf>
    <xf numFmtId="0" fontId="0" fillId="0" borderId="7" xfId="0" applyBorder="1" applyAlignment="1">
      <alignment horizontal="center" vertical="center"/>
    </xf>
    <xf numFmtId="0" fontId="0" fillId="0" borderId="7" xfId="0" applyBorder="1" applyAlignment="1">
      <alignment horizontal="center" vertical="center" wrapText="1"/>
    </xf>
    <xf numFmtId="0" fontId="0" fillId="0" borderId="13" xfId="0" applyFont="1" applyBorder="1" applyAlignment="1">
      <alignment horizontal="center" vertical="center" wrapText="1"/>
    </xf>
    <xf numFmtId="0" fontId="0" fillId="0" borderId="15" xfId="0" applyFont="1" applyBorder="1" applyAlignment="1">
      <alignment horizontal="center" vertical="center" wrapText="1"/>
    </xf>
    <xf numFmtId="0" fontId="0" fillId="0" borderId="16" xfId="0" applyFont="1" applyBorder="1" applyAlignment="1">
      <alignment horizontal="center" vertical="center" wrapText="1"/>
    </xf>
    <xf numFmtId="0" fontId="0" fillId="0" borderId="14" xfId="0" applyFont="1" applyBorder="1" applyAlignment="1">
      <alignment horizontal="center" vertical="center" wrapText="1"/>
    </xf>
    <xf numFmtId="0" fontId="0" fillId="0" borderId="3" xfId="0" applyFont="1" applyBorder="1" applyAlignment="1">
      <alignment horizontal="center" vertical="center" wrapText="1"/>
    </xf>
    <xf numFmtId="0" fontId="0" fillId="0" borderId="6" xfId="0" applyFont="1" applyBorder="1" applyAlignment="1">
      <alignment horizontal="center" vertical="center" wrapText="1"/>
    </xf>
  </cellXfs>
  <cellStyles count="2">
    <cellStyle name="Link" xfId="1" builtinId="8"/>
    <cellStyle name="Standard" xfId="0" builtinId="0"/>
  </cellStyles>
  <dxfs count="36">
    <dxf>
      <alignment horizontal="center" vertical="center" textRotation="0" wrapText="1"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person displayName="Sebastian Kanz" id="{BEA41085-816A-4612-A2BD-A3E4321902B2}" userId="S::sebastian.kanz@maibornwolff.de::114b64f1-0b13-4d93-96eb-5adf208132b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458998B-6AA0-4616-B19E-D98E621EE428}" name="System" displayName="System" ref="B1:B6" totalsRowShown="0" headerRowDxfId="35" dataDxfId="34">
  <autoFilter ref="B1:B6" xr:uid="{C13B98F7-7848-4653-A5F7-B08E116B309F}"/>
  <tableColumns count="1">
    <tableColumn id="1" xr3:uid="{7D1EE4CA-D15B-4A27-8878-7255E593F87F}" name="System"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DF1282-568C-41EA-8882-3A07507EB560}" name="Software" displayName="Software" ref="C1:C4" totalsRowShown="0" headerRowDxfId="32" dataDxfId="31">
  <autoFilter ref="C1:C4" xr:uid="{68A92581-E734-49F7-990B-7CC9D0CADDA1}"/>
  <tableColumns count="1">
    <tableColumn id="1" xr3:uid="{A4ABF9CE-6770-41FF-972F-FCC1CBD78C07}" name="Software" dataDxfId="3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89F915-1DEB-4F37-829C-F37A7B3A98F2}" name="Level1" displayName="Level1" ref="A1:A3" totalsRowShown="0" headerRowDxfId="29" dataDxfId="28">
  <autoFilter ref="A1:A3" xr:uid="{A529F6ED-4439-4948-A661-8A9E5524C3DC}"/>
  <tableColumns count="1">
    <tableColumn id="1" xr3:uid="{91B7B8D1-6534-4798-AA2B-6ECCACFD9962}" name="Level-1" dataDxfId="2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1158376-9956-4A5C-9C30-54EE51B59D3C}" name="NonFunctional" displayName="NonFunctional" ref="D1:D9" totalsRowShown="0" headerRowDxfId="26" dataDxfId="25">
  <autoFilter ref="D1:D9" xr:uid="{9D6A7DDB-E62A-4D47-AFE6-D3871AAA4D9E}"/>
  <tableColumns count="1">
    <tableColumn id="1" xr3:uid="{C7ECB20C-6B08-4F12-8C96-2AA4F94E47D6}" name="NonFunctional" dataDxfId="2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49BA3C6-D188-41CE-8ED2-DF9DD991A2F4}" name="FunctionalitySuitability" displayName="FunctionalitySuitability" ref="E1:E4" totalsRowShown="0" headerRowDxfId="23" dataDxfId="22">
  <autoFilter ref="E1:E4" xr:uid="{E77B858A-3D9B-467F-B65B-F57C00DECD26}"/>
  <tableColumns count="1">
    <tableColumn id="1" xr3:uid="{2C34C088-37D4-4FF7-8935-B15983AF0C4F}" name="FunctionalitySuitability" dataDxfId="2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2C1DA40-BDAD-4771-B870-DEEC57809FAC}" name="PerformanceEfficiency" displayName="PerformanceEfficiency" ref="F1:F4" totalsRowShown="0" headerRowDxfId="20" dataDxfId="19">
  <autoFilter ref="F1:F4" xr:uid="{F64E92E4-0B04-4AC4-BD75-18E759D960C2}"/>
  <tableColumns count="1">
    <tableColumn id="1" xr3:uid="{9F83357B-1579-483F-9F22-8686B7AB5D70}" name="PerformanceEfficiency" dataDxfId="1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1F3F234-9133-4DED-A49D-A32C766CD828}" name="Compatibility" displayName="Compatibility" ref="G1:G3" totalsRowShown="0" headerRowDxfId="17" dataDxfId="16">
  <autoFilter ref="G1:G3" xr:uid="{9738CED5-F43D-4369-A5C6-C4D694B77BBB}"/>
  <tableColumns count="1">
    <tableColumn id="1" xr3:uid="{A51FAC32-EF78-4E39-959D-23F34E18C498}" name="Compatibility" dataDxfId="1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0E3DCC2-E227-439C-9B38-981151A51253}" name="Usability" displayName="Usability" ref="H1:H6" totalsRowShown="0" headerRowDxfId="14" dataDxfId="13">
  <autoFilter ref="H1:H6" xr:uid="{E01A18DA-C15B-4881-BDF6-05B550D93853}"/>
  <tableColumns count="1">
    <tableColumn id="1" xr3:uid="{5BA25EEF-E2BA-4992-887B-ECD6E22B8BB2}" name="Usability" dataDxfId="1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49A2137-F95A-4DC5-81E4-49BB16B15039}" name="Reliability" displayName="Reliability" ref="I1:I5" totalsRowShown="0" headerRowDxfId="11" dataDxfId="10">
  <autoFilter ref="I1:I5" xr:uid="{8D198217-9E4B-40AF-AD6A-CDA501988609}"/>
  <tableColumns count="1">
    <tableColumn id="1" xr3:uid="{1D40B572-C08B-4629-9970-6FFD78784DFD}" name="Reliability" dataDxfId="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85CED3B-77F4-498D-860C-0DA1BB8C454A}" name="Security" displayName="Security" ref="J1:J6" totalsRowShown="0" headerRowDxfId="8" dataDxfId="7">
  <autoFilter ref="J1:J6" xr:uid="{B7DA28FB-DD14-4832-BE6A-3E327ECFCF7D}"/>
  <tableColumns count="1">
    <tableColumn id="1" xr3:uid="{6F61ABAB-73F9-4BC5-9DD8-5DFE1A6F9E17}" name="Security" dataDxfId="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78699E4-5382-4D39-9088-8A31BC371793}" name="Maintainability" displayName="Maintainability" ref="K1:K6" totalsRowShown="0" headerRowDxfId="5" dataDxfId="4">
  <autoFilter ref="K1:K6" xr:uid="{F2273195-C41F-47B0-A327-E77A6299BFC6}"/>
  <tableColumns count="1">
    <tableColumn id="1" xr3:uid="{07F59029-C9FC-421B-833C-CE42E47E5892}" name="Maintainability" dataDxfId="3"/>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0C1E6E4-8CF1-411B-85D6-E2BDA14541F5}" name="Portability" displayName="Portability" ref="L1:L4" totalsRowShown="0" headerRowDxfId="2" dataDxfId="1">
  <autoFilter ref="L1:L4" xr:uid="{2030E79D-131D-4474-B8F4-D005C520FA62}"/>
  <tableColumns count="1">
    <tableColumn id="1" xr3:uid="{131BFC73-275F-499E-9CB1-925DC3289401}" name="Portability" dataDxfId="0"/>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1-14T14:32:49.20" personId="{BEA41085-816A-4612-A2BD-A3E4321902B2}" id="{FE48567C-4C2D-4C85-AB6C-F5F332BAEB49}">
    <text>captures any condition or criteria needed to validate the successful completion of a project  deliverable or fulfillment of other project requirements.</text>
  </threadedComment>
  <threadedComment ref="E2" dT="2019-11-14T14:23:40.43" personId="{BEA41085-816A-4612-A2BD-A3E4321902B2}" id="{546B125C-1C4F-42A1-BAA4-77ADAD7A6AF2}">
    <text>degree to which the set of functions covers all the specified tasks and user objectives.</text>
  </threadedComment>
  <threadedComment ref="F2" dT="2019-11-14T14:24:15.46" personId="{BEA41085-816A-4612-A2BD-A3E4321902B2}" id="{EFD15302-96B0-4559-88FB-962157B0C5E5}">
    <text>degree to which the response and processing times and throughput rates of a product or system, when performing its functions, meet requirements.</text>
  </threadedComment>
  <threadedComment ref="G2" dT="2019-11-14T14:28:47.10" personId="{BEA41085-816A-4612-A2BD-A3E4321902B2}" id="{A582FAD4-8F80-4838-B8AD-BAB3442429DF}">
    <text>degree to which a product can perform its required functions efficiently while sharing a common environment and resources with other products, without detrimental impact on any other product.</text>
  </threadedComment>
  <threadedComment ref="H2" dT="2019-11-14T14:24:54.10" personId="{BEA41085-816A-4612-A2BD-A3E4321902B2}" id="{0DD66A46-05F3-4DD8-AC4C-A3FEDCC0CBCD}">
    <text>degree to which users can recognize whether a product or system is appropriate for their needs.</text>
  </threadedComment>
  <threadedComment ref="I2" dT="2019-11-14T14:26:16.56" personId="{BEA41085-816A-4612-A2BD-A3E4321902B2}" id="{116D18FC-65EB-4A8C-BEB7-558E466D8EF6}">
    <text>degree to which a system, product or component meets needs for reliability under normal operation.</text>
  </threadedComment>
  <threadedComment ref="J2" dT="2019-11-14T14:26:47.23" personId="{BEA41085-816A-4612-A2BD-A3E4321902B2}" id="{3ECE70EC-41FB-4625-A58D-BD6BD4E036C9}">
    <text>degree to which the prototype ensures that data are accessible only to those authorized to have access.</text>
  </threadedComment>
  <threadedComment ref="K2" dT="2019-11-14T14:27:24.53" personId="{BEA41085-816A-4612-A2BD-A3E4321902B2}" id="{85D8B2BA-0A51-42E2-8C11-58F0F422F690}">
    <text>degree to which a system or computer program is composed of discrete components such that a change to one component has minimal impact on other components.</text>
  </threadedComment>
  <threadedComment ref="L2" dT="2019-11-14T14:28:20.26" personId="{BEA41085-816A-4612-A2BD-A3E4321902B2}" id="{A3724B36-0224-4AF1-AF73-863F1357D370}">
    <text>degree to which a product or system can effectively and efficiently be adapted for different or evolving hardware, software or other operational or usage environments.</text>
  </threadedComment>
  <threadedComment ref="B3" dT="2019-11-14T14:32:21.76" personId="{BEA41085-816A-4612-A2BD-A3E4321902B2}" id="{7CE5B636-E0AF-499D-873D-1F408CAA98D8}">
    <text>describes the actions, processes, or other conditions the project needs to meet.</text>
  </threadedComment>
  <threadedComment ref="E3" dT="2019-11-14T14:23:50.38" personId="{BEA41085-816A-4612-A2BD-A3E4321902B2}" id="{D0935EA4-071C-4679-B3BF-29CFB1B14470}">
    <text>degree to which the functions provides the correct results with the needed degree of precision.</text>
  </threadedComment>
  <threadedComment ref="F3" dT="2019-11-14T14:24:25.11" personId="{BEA41085-816A-4612-A2BD-A3E4321902B2}" id="{746C4272-A59B-48D6-834C-4656693CBD7A}">
    <text>degree to which the amounts and types of resources used by a product or system, when performing its functions, meet requirements.</text>
  </threadedComment>
  <threadedComment ref="G3" dT="2019-11-14T14:28:56.68" personId="{BEA41085-816A-4612-A2BD-A3E4321902B2}" id="{1B96A1A4-2173-4DDC-B483-795908B24F97}">
    <text>degree to which two or more systems, products or components can exchange information and use the information that has been exchanged.</text>
  </threadedComment>
  <threadedComment ref="H3" dT="2019-11-14T14:25:04.34" personId="{BEA41085-816A-4612-A2BD-A3E4321902B2}" id="{5878DFE3-38FC-46FA-8B10-3563EBEF10C5}">
    <text>degree to which a product or system enables the user to learn how to use it with effectiveness, efficiency in emergency situations.</text>
  </threadedComment>
  <threadedComment ref="I3" dT="2019-11-14T14:26:23.85" personId="{BEA41085-816A-4612-A2BD-A3E4321902B2}" id="{790C0D45-4FCC-4148-B322-07B06F91AA1A}">
    <text>degree to which a product or system is operational and accessible when required for use.</text>
  </threadedComment>
  <threadedComment ref="J3" dT="2019-11-14T14:26:54.02" personId="{BEA41085-816A-4612-A2BD-A3E4321902B2}" id="{F6B6CF07-05F6-47BB-B82B-C67E80977C6F}">
    <text>degree to which a system, product or component prevents unauthorized access to, or modification of, computer programs or data.</text>
  </threadedComment>
  <threadedComment ref="K3" dT="2019-11-14T14:27:31.31" personId="{BEA41085-816A-4612-A2BD-A3E4321902B2}" id="{EE5F581D-3968-4671-ACD7-9BD2B6ED44E6}">
    <text>degree to which an asset can be used in more than one system, or in building other assets.</text>
  </threadedComment>
  <threadedComment ref="L3" dT="2019-11-14T14:28:31.40" personId="{BEA41085-816A-4612-A2BD-A3E4321902B2}" id="{42B56D89-09C4-427F-A3A8-7622C2173E4D}">
    <text>degree of effectiveness and efficiency in which a product or system can be successfully installed and/or uninstalled in a specified environment.</text>
  </threadedComment>
  <threadedComment ref="B4" dT="2019-11-14T14:33:45.89" personId="{BEA41085-816A-4612-A2BD-A3E4321902B2}" id="{1539A302-A867-4153-A156-71363699C926}">
    <text>describes the higher-level needs of the organization as a whole, such as the business issues or opportunities, and reasons why a project has been undertaken.</text>
  </threadedComment>
  <threadedComment ref="C4" dT="2019-11-14T15:52:50.13" personId="{BEA41085-816A-4612-A2BD-A3E4321902B2}" id="{298FD523-349F-436E-845C-8CB9EE669485}">
    <text>is
essentially a constraint on the development of the software</text>
  </threadedComment>
  <threadedComment ref="E4" dT="2019-11-14T14:24:00.45" personId="{BEA41085-816A-4612-A2BD-A3E4321902B2}" id="{70748A68-2148-400B-AEDA-40BCD9FF4F9E}">
    <text>degree to which the functions facilitate the accomplishment of specified tasks and objectives.</text>
  </threadedComment>
  <threadedComment ref="F4" dT="2019-11-14T14:24:36.62" personId="{BEA41085-816A-4612-A2BD-A3E4321902B2}" id="{E86D1097-BDAF-44C1-9E03-532330E7C4B9}">
    <text>degree to which the maximum limits of the product or system, parameter meet requirements.</text>
  </threadedComment>
  <threadedComment ref="H4" dT="2019-11-14T14:25:10.49" personId="{BEA41085-816A-4612-A2BD-A3E4321902B2}" id="{7BEBA469-E5C8-4B06-ADBB-30FED1DE2C6D}">
    <text>degree to which a product or system is easy to operate, control and appropriate to use.</text>
  </threadedComment>
  <threadedComment ref="I4" dT="2019-11-14T14:26:30.66" personId="{BEA41085-816A-4612-A2BD-A3E4321902B2}" id="{0AB91D9D-B550-431A-9C55-5F92A0990DEC}">
    <text>degree to which a system, product or component operates as intended despite the presence of hardware or software faults.</text>
  </threadedComment>
  <threadedComment ref="J4" dT="2019-11-14T14:26:59.44" personId="{BEA41085-816A-4612-A2BD-A3E4321902B2}" id="{40AE5847-3C18-4511-88B2-44E278452F6A}">
    <text>degree to which actions or events can be proven to have taken place, so that the events or actions cannot be repudiated later.</text>
  </threadedComment>
  <threadedComment ref="K4" dT="2019-11-14T14:27:41.61" personId="{BEA41085-816A-4612-A2BD-A3E4321902B2}" id="{8E918B05-7032-4AD3-AE1E-FF2B53FDF7B5}">
    <text>degree of effectiveness and efficiency with which it is possible to assess the impact on a product or system of an intended change to one or more of its parts, or to diagnose a product for deficiencies or causes of failures, or to identify parts to be modified.</text>
  </threadedComment>
  <threadedComment ref="L4" dT="2019-11-14T14:28:37.66" personId="{BEA41085-816A-4612-A2BD-A3E4321902B2}" id="{E96E37F3-6EEB-42D9-8C49-66C4120D1E19}">
    <text>degree to which a product can replace another specified software product for the same purpose in the same environment.</text>
  </threadedComment>
  <threadedComment ref="B5" dT="2019-11-14T14:33:27.69" personId="{BEA41085-816A-4612-A2BD-A3E4321902B2}" id="{44DCF6EF-C659-4D92-9CE9-3819B31F1BBB}">
    <text>describes needs of a stakeholder or stakeholder group.</text>
  </threadedComment>
  <threadedComment ref="H5" dT="2019-11-14T14:25:33.60" personId="{BEA41085-816A-4612-A2BD-A3E4321902B2}" id="{B13FC58A-3651-4A80-900A-F0E83A39506C}">
    <text>degree to which a user interface enables pleasing and satisfying interaction for the user.</text>
  </threadedComment>
  <threadedComment ref="I5" dT="2019-11-14T14:26:38.91" personId="{BEA41085-816A-4612-A2BD-A3E4321902B2}" id="{C83D61D4-442C-4275-B853-299D54F1DF6E}">
    <text>degree to which, in the event of an interruption or a failure, a product or system can recover the data directly affected and re-establish the desired state of the system.</text>
  </threadedComment>
  <threadedComment ref="J5" dT="2019-11-14T14:27:05.53" personId="{BEA41085-816A-4612-A2BD-A3E4321902B2}" id="{216951EC-912A-4D7E-80AB-3AB895D83564}">
    <text>degree to which the actions of an entity can be traced uniquely to the entity.</text>
  </threadedComment>
  <threadedComment ref="K5" dT="2019-11-14T14:27:48.91" personId="{BEA41085-816A-4612-A2BD-A3E4321902B2}" id="{2F186C60-0A74-4E53-8B8C-76D79C5DA9F2}">
    <text>degree to which a product or system can be effectively and efficiently modified without introducing defects or degrading existing product quality.</text>
  </threadedComment>
  <threadedComment ref="B6" dT="2019-11-14T14:33:03.35" personId="{BEA41085-816A-4612-A2BD-A3E4321902B2}" id="{A33EB849-A3BC-424D-8B91-C1F5E4F09718}">
    <text>describes temporary capabilities, such as data conversion and training requirements, needed to transition from the current “as-is” state to the future “to-be” state.</text>
  </threadedComment>
  <threadedComment ref="H6" dT="2019-11-14T14:25:24.94" personId="{BEA41085-816A-4612-A2BD-A3E4321902B2}" id="{4259902A-2AF0-4138-96B8-C2071735D6F4}">
    <text>degree to which a product or system can be used by people with the widest range of characteristics and capabilities to achieve a specified goal in a specified context of use.</text>
  </threadedComment>
  <threadedComment ref="J6" dT="2019-11-14T14:27:14.19" personId="{BEA41085-816A-4612-A2BD-A3E4321902B2}" id="{D00104D5-8419-4637-A869-6900872014CA}">
    <text>degree to which the identity of a subject or resource can be proved to be the one claimed.</text>
  </threadedComment>
  <threadedComment ref="K6" dT="2019-11-14T14:27:58.65" personId="{BEA41085-816A-4612-A2BD-A3E4321902B2}" id="{D7EB2023-B72B-43DC-ACA4-9821DDD1252F}">
    <text>degree of effectiveness and efficiency with which test criteria can be established for a system, product or component and tests can be performed to determine whether those criteria have been met.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3" Type="http://schemas.openxmlformats.org/officeDocument/2006/relationships/table" Target="../tables/table1.xml"/><Relationship Id="rId7" Type="http://schemas.openxmlformats.org/officeDocument/2006/relationships/table" Target="../tables/table5.xml"/><Relationship Id="rId12" Type="http://schemas.openxmlformats.org/officeDocument/2006/relationships/table" Target="../tables/table10.xml"/><Relationship Id="rId2" Type="http://schemas.openxmlformats.org/officeDocument/2006/relationships/vmlDrawing" Target="../drawings/vmlDrawing1.vml"/><Relationship Id="rId16" Type="http://schemas.microsoft.com/office/2017/10/relationships/threadedComment" Target="../threadedComments/threadedComment1.xml"/><Relationship Id="rId1" Type="http://schemas.openxmlformats.org/officeDocument/2006/relationships/hyperlink" Target="https://www.codacy.com/blog/iso-25010-software-quality-model/" TargetMode="External"/><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5" Type="http://schemas.openxmlformats.org/officeDocument/2006/relationships/comments" Target="../comments1.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A8857E-8CF5-4A15-965C-0F2E160570A4}">
  <sheetPr codeName="Tabelle1" filterMode="1">
    <pageSetUpPr fitToPage="1"/>
  </sheetPr>
  <dimension ref="A1:K97"/>
  <sheetViews>
    <sheetView tabSelected="1" topLeftCell="D1" zoomScale="70" zoomScaleNormal="70" workbookViewId="0">
      <pane ySplit="1" topLeftCell="A2" activePane="bottomLeft" state="frozen"/>
      <selection pane="bottomLeft" activeCell="J1" sqref="J1:J96"/>
    </sheetView>
  </sheetViews>
  <sheetFormatPr baseColWidth="10" defaultRowHeight="60" customHeight="1" x14ac:dyDescent="0.3"/>
  <cols>
    <col min="1" max="1" width="32.109375" style="2" customWidth="1"/>
    <col min="2" max="2" width="23.109375" style="2" customWidth="1"/>
    <col min="3" max="3" width="11.5546875" style="2"/>
    <col min="4" max="4" width="34.6640625" style="2" customWidth="1"/>
    <col min="5" max="5" width="23.109375" style="2" customWidth="1"/>
    <col min="6" max="6" width="74" style="8" customWidth="1"/>
    <col min="7" max="7" width="22.21875" style="5" customWidth="1"/>
    <col min="8" max="9" width="22.21875" style="2" customWidth="1"/>
    <col min="10" max="10" width="22.5546875" style="2" customWidth="1"/>
    <col min="11" max="11" width="33.44140625" style="2" customWidth="1"/>
    <col min="12" max="16384" width="11.5546875" style="2"/>
  </cols>
  <sheetData>
    <row r="1" spans="1:11" ht="60" customHeight="1" thickTop="1" thickBot="1" x14ac:dyDescent="0.35">
      <c r="A1" s="43" t="s">
        <v>50</v>
      </c>
      <c r="B1" s="44" t="s">
        <v>51</v>
      </c>
      <c r="C1" s="44" t="s">
        <v>0</v>
      </c>
      <c r="D1" s="44" t="s">
        <v>51</v>
      </c>
      <c r="E1" s="44" t="s">
        <v>52</v>
      </c>
      <c r="F1" s="45" t="s">
        <v>51</v>
      </c>
      <c r="G1" s="46" t="s">
        <v>77</v>
      </c>
      <c r="H1" s="46" t="s">
        <v>78</v>
      </c>
      <c r="I1" s="46" t="s">
        <v>74</v>
      </c>
      <c r="J1" s="47" t="s">
        <v>169</v>
      </c>
      <c r="K1" s="47" t="s">
        <v>415</v>
      </c>
    </row>
    <row r="2" spans="1:11" s="13" customFormat="1" ht="60" customHeight="1" thickTop="1" x14ac:dyDescent="0.3">
      <c r="A2" s="67" t="s">
        <v>337</v>
      </c>
      <c r="B2" s="70" t="s">
        <v>401</v>
      </c>
      <c r="C2" s="65" t="s">
        <v>326</v>
      </c>
      <c r="D2" s="66" t="s">
        <v>53</v>
      </c>
      <c r="E2" s="31" t="s">
        <v>352</v>
      </c>
      <c r="F2" s="32" t="s">
        <v>301</v>
      </c>
      <c r="G2" s="33" t="s">
        <v>68</v>
      </c>
      <c r="H2" s="33" t="s">
        <v>137</v>
      </c>
      <c r="I2" s="40" t="s">
        <v>83</v>
      </c>
      <c r="J2" s="38" t="s">
        <v>158</v>
      </c>
      <c r="K2" s="13" t="s">
        <v>409</v>
      </c>
    </row>
    <row r="3" spans="1:11" s="13" customFormat="1" ht="60" hidden="1" customHeight="1" thickTop="1" x14ac:dyDescent="0.3">
      <c r="A3" s="68"/>
      <c r="B3" s="71"/>
      <c r="C3" s="48"/>
      <c r="D3" s="49"/>
      <c r="E3" s="18" t="s">
        <v>353</v>
      </c>
      <c r="F3" s="19" t="s">
        <v>325</v>
      </c>
      <c r="G3" s="17" t="s">
        <v>68</v>
      </c>
      <c r="H3" s="17" t="s">
        <v>75</v>
      </c>
      <c r="I3" s="12"/>
      <c r="J3" s="35"/>
    </row>
    <row r="4" spans="1:11" s="13" customFormat="1" ht="60" hidden="1" customHeight="1" x14ac:dyDescent="0.3">
      <c r="A4" s="68"/>
      <c r="B4" s="71"/>
      <c r="C4" s="48"/>
      <c r="D4" s="49"/>
      <c r="E4" s="18" t="s">
        <v>354</v>
      </c>
      <c r="F4" s="19" t="s">
        <v>402</v>
      </c>
      <c r="G4" s="17" t="s">
        <v>68</v>
      </c>
      <c r="H4" s="17" t="s">
        <v>75</v>
      </c>
      <c r="I4" s="12"/>
      <c r="J4" s="35"/>
    </row>
    <row r="5" spans="1:11" s="13" customFormat="1" ht="60" hidden="1" customHeight="1" x14ac:dyDescent="0.3">
      <c r="A5" s="68"/>
      <c r="B5" s="71"/>
      <c r="C5" s="48"/>
      <c r="D5" s="49"/>
      <c r="E5" s="18" t="s">
        <v>355</v>
      </c>
      <c r="F5" s="19" t="s">
        <v>348</v>
      </c>
      <c r="G5" s="17" t="s">
        <v>68</v>
      </c>
      <c r="H5" s="17" t="s">
        <v>75</v>
      </c>
      <c r="I5" s="12"/>
      <c r="J5" s="35"/>
      <c r="K5" s="13" t="s">
        <v>408</v>
      </c>
    </row>
    <row r="6" spans="1:11" s="13" customFormat="1" ht="60" hidden="1" customHeight="1" x14ac:dyDescent="0.3">
      <c r="A6" s="68"/>
      <c r="B6" s="71"/>
      <c r="C6" s="48"/>
      <c r="D6" s="49"/>
      <c r="E6" s="18" t="s">
        <v>356</v>
      </c>
      <c r="F6" s="19" t="s">
        <v>403</v>
      </c>
      <c r="G6" s="17" t="s">
        <v>68</v>
      </c>
      <c r="H6" s="17" t="s">
        <v>75</v>
      </c>
      <c r="I6" s="12"/>
      <c r="J6" s="35"/>
    </row>
    <row r="7" spans="1:11" s="13" customFormat="1" ht="60" hidden="1" customHeight="1" x14ac:dyDescent="0.3">
      <c r="A7" s="68"/>
      <c r="B7" s="71"/>
      <c r="C7" s="48" t="s">
        <v>327</v>
      </c>
      <c r="D7" s="49" t="s">
        <v>339</v>
      </c>
      <c r="E7" s="18" t="s">
        <v>357</v>
      </c>
      <c r="F7" s="19" t="s">
        <v>334</v>
      </c>
      <c r="G7" s="17" t="s">
        <v>68</v>
      </c>
      <c r="H7" s="17" t="s">
        <v>75</v>
      </c>
      <c r="I7" s="12"/>
      <c r="J7" s="35"/>
      <c r="K7" s="13" t="s">
        <v>410</v>
      </c>
    </row>
    <row r="8" spans="1:11" s="13" customFormat="1" ht="60" customHeight="1" x14ac:dyDescent="0.3">
      <c r="A8" s="68"/>
      <c r="B8" s="71"/>
      <c r="C8" s="48"/>
      <c r="D8" s="49"/>
      <c r="E8" s="18" t="s">
        <v>358</v>
      </c>
      <c r="F8" s="19" t="s">
        <v>324</v>
      </c>
      <c r="G8" s="17" t="s">
        <v>68</v>
      </c>
      <c r="H8" s="17" t="s">
        <v>137</v>
      </c>
      <c r="I8" s="15" t="s">
        <v>168</v>
      </c>
      <c r="J8" s="34" t="s">
        <v>141</v>
      </c>
      <c r="K8" s="13" t="s">
        <v>410</v>
      </c>
    </row>
    <row r="9" spans="1:11" s="13" customFormat="1" ht="60" customHeight="1" x14ac:dyDescent="0.3">
      <c r="A9" s="68"/>
      <c r="B9" s="71"/>
      <c r="C9" s="48"/>
      <c r="D9" s="49"/>
      <c r="E9" s="18" t="s">
        <v>359</v>
      </c>
      <c r="F9" s="19" t="s">
        <v>330</v>
      </c>
      <c r="G9" s="15" t="s">
        <v>68</v>
      </c>
      <c r="H9" s="15" t="s">
        <v>137</v>
      </c>
      <c r="I9" s="15" t="s">
        <v>83</v>
      </c>
      <c r="J9" s="34" t="s">
        <v>157</v>
      </c>
      <c r="K9" s="13" t="s">
        <v>410</v>
      </c>
    </row>
    <row r="10" spans="1:11" s="13" customFormat="1" ht="60" customHeight="1" x14ac:dyDescent="0.3">
      <c r="A10" s="68"/>
      <c r="B10" s="71"/>
      <c r="C10" s="48"/>
      <c r="D10" s="49"/>
      <c r="E10" s="18" t="s">
        <v>360</v>
      </c>
      <c r="F10" s="19" t="s">
        <v>329</v>
      </c>
      <c r="G10" s="15" t="s">
        <v>68</v>
      </c>
      <c r="H10" s="15" t="s">
        <v>137</v>
      </c>
      <c r="I10" s="15" t="s">
        <v>83</v>
      </c>
      <c r="J10" s="34" t="s">
        <v>155</v>
      </c>
      <c r="K10" s="13" t="s">
        <v>410</v>
      </c>
    </row>
    <row r="11" spans="1:11" s="13" customFormat="1" ht="60" customHeight="1" x14ac:dyDescent="0.3">
      <c r="A11" s="68"/>
      <c r="B11" s="71"/>
      <c r="C11" s="48"/>
      <c r="D11" s="49"/>
      <c r="E11" s="18" t="s">
        <v>361</v>
      </c>
      <c r="F11" s="19" t="s">
        <v>341</v>
      </c>
      <c r="G11" s="15" t="s">
        <v>68</v>
      </c>
      <c r="H11" s="15" t="s">
        <v>137</v>
      </c>
      <c r="I11" s="15" t="s">
        <v>83</v>
      </c>
      <c r="J11" s="34" t="s">
        <v>154</v>
      </c>
      <c r="K11" s="13" t="s">
        <v>410</v>
      </c>
    </row>
    <row r="12" spans="1:11" s="13" customFormat="1" ht="60" hidden="1" customHeight="1" x14ac:dyDescent="0.3">
      <c r="A12" s="68"/>
      <c r="B12" s="71"/>
      <c r="C12" s="48"/>
      <c r="D12" s="49"/>
      <c r="E12" s="18" t="s">
        <v>362</v>
      </c>
      <c r="F12" s="19" t="s">
        <v>300</v>
      </c>
      <c r="G12" s="15" t="s">
        <v>68</v>
      </c>
      <c r="H12" s="15" t="s">
        <v>75</v>
      </c>
      <c r="I12" s="12"/>
      <c r="J12" s="35"/>
      <c r="K12" s="13" t="s">
        <v>410</v>
      </c>
    </row>
    <row r="13" spans="1:11" s="1" customFormat="1" ht="60" hidden="1" customHeight="1" x14ac:dyDescent="0.3">
      <c r="A13" s="68"/>
      <c r="B13" s="71"/>
      <c r="C13" s="48" t="s">
        <v>328</v>
      </c>
      <c r="D13" s="49" t="s">
        <v>335</v>
      </c>
      <c r="E13" s="18" t="s">
        <v>363</v>
      </c>
      <c r="F13" s="19" t="s">
        <v>336</v>
      </c>
      <c r="G13" s="17" t="s">
        <v>68</v>
      </c>
      <c r="H13" s="17" t="s">
        <v>75</v>
      </c>
      <c r="I13" s="12"/>
      <c r="J13" s="35"/>
      <c r="K13" s="13" t="s">
        <v>410</v>
      </c>
    </row>
    <row r="14" spans="1:11" s="1" customFormat="1" ht="60" hidden="1" customHeight="1" x14ac:dyDescent="0.3">
      <c r="A14" s="68"/>
      <c r="B14" s="71"/>
      <c r="C14" s="48"/>
      <c r="D14" s="49"/>
      <c r="E14" s="18" t="s">
        <v>364</v>
      </c>
      <c r="F14" s="19" t="s">
        <v>340</v>
      </c>
      <c r="G14" s="17" t="s">
        <v>68</v>
      </c>
      <c r="H14" s="17" t="s">
        <v>75</v>
      </c>
      <c r="I14" s="12"/>
      <c r="J14" s="35"/>
      <c r="K14" s="13" t="s">
        <v>410</v>
      </c>
    </row>
    <row r="15" spans="1:11" s="1" customFormat="1" ht="60" hidden="1" customHeight="1" x14ac:dyDescent="0.3">
      <c r="A15" s="68"/>
      <c r="B15" s="71"/>
      <c r="C15" s="48"/>
      <c r="D15" s="49"/>
      <c r="E15" s="18" t="s">
        <v>365</v>
      </c>
      <c r="F15" s="19" t="s">
        <v>396</v>
      </c>
      <c r="G15" s="17" t="s">
        <v>68</v>
      </c>
      <c r="H15" s="17" t="s">
        <v>75</v>
      </c>
      <c r="I15" s="12"/>
      <c r="J15" s="35"/>
      <c r="K15" s="13" t="s">
        <v>408</v>
      </c>
    </row>
    <row r="16" spans="1:11" s="1" customFormat="1" ht="60" customHeight="1" x14ac:dyDescent="0.3">
      <c r="A16" s="68"/>
      <c r="B16" s="71"/>
      <c r="C16" s="48"/>
      <c r="D16" s="49"/>
      <c r="E16" s="18" t="s">
        <v>366</v>
      </c>
      <c r="F16" s="19" t="s">
        <v>342</v>
      </c>
      <c r="G16" s="17" t="s">
        <v>68</v>
      </c>
      <c r="H16" s="17" t="s">
        <v>137</v>
      </c>
      <c r="I16" s="15" t="s">
        <v>83</v>
      </c>
      <c r="J16" s="34" t="s">
        <v>155</v>
      </c>
      <c r="K16" s="1" t="s">
        <v>418</v>
      </c>
    </row>
    <row r="17" spans="1:11" s="1" customFormat="1" ht="60" hidden="1" customHeight="1" x14ac:dyDescent="0.3">
      <c r="A17" s="68"/>
      <c r="B17" s="71"/>
      <c r="C17" s="48"/>
      <c r="D17" s="49"/>
      <c r="E17" s="18" t="s">
        <v>367</v>
      </c>
      <c r="F17" s="19" t="s">
        <v>333</v>
      </c>
      <c r="G17" s="17" t="s">
        <v>68</v>
      </c>
      <c r="H17" s="17" t="s">
        <v>75</v>
      </c>
      <c r="I17" s="12"/>
      <c r="J17" s="35"/>
      <c r="K17" s="13" t="s">
        <v>410</v>
      </c>
    </row>
    <row r="18" spans="1:11" s="1" customFormat="1" ht="60" hidden="1" customHeight="1" x14ac:dyDescent="0.3">
      <c r="A18" s="68"/>
      <c r="B18" s="71"/>
      <c r="C18" s="48"/>
      <c r="D18" s="49"/>
      <c r="E18" s="18" t="s">
        <v>368</v>
      </c>
      <c r="F18" s="19" t="s">
        <v>331</v>
      </c>
      <c r="G18" s="15" t="s">
        <v>68</v>
      </c>
      <c r="H18" s="15" t="s">
        <v>75</v>
      </c>
      <c r="I18" s="12"/>
      <c r="J18" s="35"/>
    </row>
    <row r="19" spans="1:11" s="1" customFormat="1" ht="60" hidden="1" customHeight="1" x14ac:dyDescent="0.3">
      <c r="A19" s="68"/>
      <c r="B19" s="71"/>
      <c r="C19" s="48"/>
      <c r="D19" s="49"/>
      <c r="E19" s="18" t="s">
        <v>369</v>
      </c>
      <c r="F19" s="19" t="s">
        <v>332</v>
      </c>
      <c r="G19" s="15" t="s">
        <v>68</v>
      </c>
      <c r="H19" s="15" t="s">
        <v>75</v>
      </c>
      <c r="I19" s="12"/>
      <c r="J19" s="35"/>
    </row>
    <row r="20" spans="1:11" s="1" customFormat="1" ht="60" hidden="1" customHeight="1" x14ac:dyDescent="0.3">
      <c r="A20" s="68"/>
      <c r="B20" s="71"/>
      <c r="C20" s="48"/>
      <c r="D20" s="49"/>
      <c r="E20" s="18" t="s">
        <v>370</v>
      </c>
      <c r="F20" s="19" t="s">
        <v>343</v>
      </c>
      <c r="G20" s="15" t="s">
        <v>68</v>
      </c>
      <c r="H20" s="15" t="s">
        <v>75</v>
      </c>
      <c r="I20" s="12"/>
      <c r="J20" s="35"/>
    </row>
    <row r="21" spans="1:11" s="1" customFormat="1" ht="60" customHeight="1" x14ac:dyDescent="0.3">
      <c r="A21" s="68"/>
      <c r="B21" s="71"/>
      <c r="C21" s="48"/>
      <c r="D21" s="49"/>
      <c r="E21" s="18" t="s">
        <v>375</v>
      </c>
      <c r="F21" s="19" t="s">
        <v>344</v>
      </c>
      <c r="G21" s="15" t="s">
        <v>68</v>
      </c>
      <c r="H21" s="15" t="s">
        <v>137</v>
      </c>
      <c r="I21" s="15" t="s">
        <v>83</v>
      </c>
      <c r="J21" s="34" t="s">
        <v>154</v>
      </c>
      <c r="K21" s="1" t="s">
        <v>418</v>
      </c>
    </row>
    <row r="22" spans="1:11" s="1" customFormat="1" ht="60" customHeight="1" x14ac:dyDescent="0.3">
      <c r="A22" s="68"/>
      <c r="B22" s="71"/>
      <c r="C22" s="48"/>
      <c r="D22" s="49"/>
      <c r="E22" s="18" t="s">
        <v>379</v>
      </c>
      <c r="F22" s="19" t="s">
        <v>407</v>
      </c>
      <c r="G22" s="15" t="s">
        <v>68</v>
      </c>
      <c r="H22" s="15" t="s">
        <v>137</v>
      </c>
      <c r="I22" s="15" t="s">
        <v>84</v>
      </c>
      <c r="J22" s="34" t="s">
        <v>162</v>
      </c>
    </row>
    <row r="23" spans="1:11" s="1" customFormat="1" ht="60" hidden="1" customHeight="1" x14ac:dyDescent="0.3">
      <c r="A23" s="68"/>
      <c r="B23" s="71"/>
      <c r="C23" s="48"/>
      <c r="D23" s="49"/>
      <c r="E23" s="18" t="s">
        <v>406</v>
      </c>
      <c r="F23" s="19" t="s">
        <v>376</v>
      </c>
      <c r="G23" s="15" t="s">
        <v>68</v>
      </c>
      <c r="H23" s="15" t="s">
        <v>75</v>
      </c>
      <c r="I23" s="12"/>
      <c r="J23" s="35"/>
      <c r="K23" s="1" t="s">
        <v>412</v>
      </c>
    </row>
    <row r="24" spans="1:11" s="1" customFormat="1" ht="60" hidden="1" customHeight="1" x14ac:dyDescent="0.3">
      <c r="A24" s="68"/>
      <c r="B24" s="71"/>
      <c r="C24" s="57" t="s">
        <v>377</v>
      </c>
      <c r="D24" s="59" t="s">
        <v>378</v>
      </c>
      <c r="E24" s="18" t="s">
        <v>380</v>
      </c>
      <c r="F24" s="19" t="s">
        <v>383</v>
      </c>
      <c r="G24" s="15" t="s">
        <v>68</v>
      </c>
      <c r="H24" s="15" t="s">
        <v>75</v>
      </c>
      <c r="I24" s="12"/>
      <c r="J24" s="35"/>
      <c r="K24" s="13" t="s">
        <v>408</v>
      </c>
    </row>
    <row r="25" spans="1:11" s="1" customFormat="1" ht="60" hidden="1" customHeight="1" thickBot="1" x14ac:dyDescent="0.35">
      <c r="A25" s="69"/>
      <c r="B25" s="72"/>
      <c r="C25" s="58"/>
      <c r="D25" s="60"/>
      <c r="E25" s="26" t="s">
        <v>380</v>
      </c>
      <c r="F25" s="27" t="s">
        <v>381</v>
      </c>
      <c r="G25" s="28" t="s">
        <v>68</v>
      </c>
      <c r="H25" s="28" t="s">
        <v>75</v>
      </c>
      <c r="I25" s="29"/>
      <c r="J25" s="41"/>
      <c r="K25" s="13" t="s">
        <v>408</v>
      </c>
    </row>
    <row r="26" spans="1:11" ht="60" hidden="1" customHeight="1" thickTop="1" x14ac:dyDescent="0.3">
      <c r="A26" s="63" t="s">
        <v>14</v>
      </c>
      <c r="B26" s="56" t="s">
        <v>374</v>
      </c>
      <c r="C26" s="55" t="s">
        <v>1</v>
      </c>
      <c r="D26" s="56" t="s">
        <v>12</v>
      </c>
      <c r="E26" s="21" t="s">
        <v>2</v>
      </c>
      <c r="F26" s="24" t="s">
        <v>55</v>
      </c>
      <c r="G26" s="20" t="s">
        <v>68</v>
      </c>
      <c r="H26" s="20" t="s">
        <v>75</v>
      </c>
      <c r="I26" s="25"/>
      <c r="J26" s="42"/>
      <c r="K26" s="2" t="s">
        <v>413</v>
      </c>
    </row>
    <row r="27" spans="1:11" s="13" customFormat="1" ht="60" hidden="1" customHeight="1" x14ac:dyDescent="0.3">
      <c r="A27" s="52"/>
      <c r="B27" s="49"/>
      <c r="C27" s="48"/>
      <c r="D27" s="49"/>
      <c r="E27" s="18" t="s">
        <v>3</v>
      </c>
      <c r="F27" s="19" t="s">
        <v>349</v>
      </c>
      <c r="G27" s="17" t="s">
        <v>68</v>
      </c>
      <c r="H27" s="17" t="s">
        <v>75</v>
      </c>
      <c r="I27" s="12"/>
      <c r="J27" s="35"/>
      <c r="K27" s="13" t="s">
        <v>413</v>
      </c>
    </row>
    <row r="28" spans="1:11" ht="60" customHeight="1" x14ac:dyDescent="0.3">
      <c r="A28" s="52"/>
      <c r="B28" s="49"/>
      <c r="C28" s="48"/>
      <c r="D28" s="49"/>
      <c r="E28" s="18" t="s">
        <v>54</v>
      </c>
      <c r="F28" s="19" t="s">
        <v>278</v>
      </c>
      <c r="G28" s="15" t="s">
        <v>68</v>
      </c>
      <c r="H28" s="15" t="s">
        <v>137</v>
      </c>
      <c r="I28" s="15" t="s">
        <v>83</v>
      </c>
      <c r="J28" s="34" t="s">
        <v>157</v>
      </c>
      <c r="K28" s="2" t="s">
        <v>409</v>
      </c>
    </row>
    <row r="29" spans="1:11" ht="60" hidden="1" customHeight="1" x14ac:dyDescent="0.3">
      <c r="A29" s="52"/>
      <c r="B29" s="49"/>
      <c r="C29" s="18" t="s">
        <v>338</v>
      </c>
      <c r="D29" s="17" t="s">
        <v>13</v>
      </c>
      <c r="E29" s="16" t="s">
        <v>4</v>
      </c>
      <c r="F29" s="19" t="s">
        <v>56</v>
      </c>
      <c r="G29" s="15" t="s">
        <v>68</v>
      </c>
      <c r="H29" s="15" t="s">
        <v>75</v>
      </c>
      <c r="I29" s="12"/>
      <c r="J29" s="35"/>
      <c r="K29" s="2" t="s">
        <v>413</v>
      </c>
    </row>
    <row r="30" spans="1:11" s="13" customFormat="1" ht="60" hidden="1" customHeight="1" x14ac:dyDescent="0.3">
      <c r="A30" s="52" t="s">
        <v>371</v>
      </c>
      <c r="B30" s="49" t="s">
        <v>351</v>
      </c>
      <c r="C30" s="57" t="s">
        <v>5</v>
      </c>
      <c r="D30" s="59" t="s">
        <v>397</v>
      </c>
      <c r="E30" s="16" t="s">
        <v>6</v>
      </c>
      <c r="F30" s="19" t="s">
        <v>398</v>
      </c>
      <c r="G30" s="17" t="s">
        <v>68</v>
      </c>
      <c r="H30" s="17" t="s">
        <v>75</v>
      </c>
      <c r="I30" s="12"/>
      <c r="J30" s="35"/>
      <c r="K30" s="13" t="s">
        <v>408</v>
      </c>
    </row>
    <row r="31" spans="1:11" s="13" customFormat="1" ht="60" hidden="1" customHeight="1" x14ac:dyDescent="0.3">
      <c r="A31" s="52"/>
      <c r="B31" s="49"/>
      <c r="C31" s="62"/>
      <c r="D31" s="61"/>
      <c r="E31" s="16" t="s">
        <v>372</v>
      </c>
      <c r="F31" s="19" t="s">
        <v>400</v>
      </c>
      <c r="G31" s="17" t="s">
        <v>68</v>
      </c>
      <c r="H31" s="17" t="s">
        <v>75</v>
      </c>
      <c r="I31" s="12"/>
      <c r="J31" s="35"/>
      <c r="K31" s="13" t="s">
        <v>408</v>
      </c>
    </row>
    <row r="32" spans="1:11" s="13" customFormat="1" ht="60" hidden="1" customHeight="1" x14ac:dyDescent="0.3">
      <c r="A32" s="52"/>
      <c r="B32" s="49"/>
      <c r="C32" s="55"/>
      <c r="D32" s="56"/>
      <c r="E32" s="16" t="s">
        <v>373</v>
      </c>
      <c r="F32" s="19" t="s">
        <v>399</v>
      </c>
      <c r="G32" s="17" t="s">
        <v>68</v>
      </c>
      <c r="H32" s="17" t="s">
        <v>75</v>
      </c>
      <c r="I32" s="12"/>
      <c r="J32" s="35"/>
      <c r="K32" s="13" t="s">
        <v>408</v>
      </c>
    </row>
    <row r="33" spans="1:11" ht="60" hidden="1" customHeight="1" x14ac:dyDescent="0.3">
      <c r="A33" s="52" t="s">
        <v>382</v>
      </c>
      <c r="B33" s="49" t="s">
        <v>15</v>
      </c>
      <c r="C33" s="18" t="s">
        <v>7</v>
      </c>
      <c r="D33" s="17" t="s">
        <v>57</v>
      </c>
      <c r="E33" s="18" t="s">
        <v>9</v>
      </c>
      <c r="F33" s="19" t="s">
        <v>58</v>
      </c>
      <c r="G33" s="17" t="s">
        <v>68</v>
      </c>
      <c r="H33" s="17" t="s">
        <v>75</v>
      </c>
      <c r="I33" s="12"/>
      <c r="J33" s="35"/>
      <c r="K33" s="13" t="s">
        <v>413</v>
      </c>
    </row>
    <row r="34" spans="1:11" ht="60" hidden="1" customHeight="1" x14ac:dyDescent="0.3">
      <c r="A34" s="52"/>
      <c r="B34" s="49"/>
      <c r="C34" s="48" t="s">
        <v>8</v>
      </c>
      <c r="D34" s="49" t="s">
        <v>59</v>
      </c>
      <c r="E34" s="16" t="s">
        <v>10</v>
      </c>
      <c r="F34" s="19" t="s">
        <v>60</v>
      </c>
      <c r="G34" s="15" t="s">
        <v>68</v>
      </c>
      <c r="H34" s="15" t="s">
        <v>75</v>
      </c>
      <c r="I34" s="12"/>
      <c r="J34" s="35"/>
      <c r="K34" s="13" t="s">
        <v>413</v>
      </c>
    </row>
    <row r="35" spans="1:11" s="13" customFormat="1" ht="60" customHeight="1" x14ac:dyDescent="0.3">
      <c r="A35" s="52"/>
      <c r="B35" s="49"/>
      <c r="C35" s="48"/>
      <c r="D35" s="49"/>
      <c r="E35" s="16" t="s">
        <v>11</v>
      </c>
      <c r="F35" s="19" t="s">
        <v>350</v>
      </c>
      <c r="G35" s="15" t="s">
        <v>68</v>
      </c>
      <c r="H35" s="15" t="s">
        <v>137</v>
      </c>
      <c r="I35" s="15" t="s">
        <v>83</v>
      </c>
      <c r="J35" s="36" t="s">
        <v>156</v>
      </c>
      <c r="K35" s="13" t="s">
        <v>418</v>
      </c>
    </row>
    <row r="36" spans="1:11" ht="60" hidden="1" customHeight="1" x14ac:dyDescent="0.3">
      <c r="A36" s="52" t="s">
        <v>16</v>
      </c>
      <c r="B36" s="49" t="s">
        <v>17</v>
      </c>
      <c r="C36" s="18" t="s">
        <v>21</v>
      </c>
      <c r="D36" s="17" t="s">
        <v>18</v>
      </c>
      <c r="E36" s="18" t="s">
        <v>24</v>
      </c>
      <c r="F36" s="19" t="s">
        <v>65</v>
      </c>
      <c r="G36" s="15" t="s">
        <v>68</v>
      </c>
      <c r="H36" s="15" t="s">
        <v>75</v>
      </c>
      <c r="I36" s="12"/>
      <c r="J36" s="35"/>
      <c r="K36" s="13" t="s">
        <v>408</v>
      </c>
    </row>
    <row r="37" spans="1:11" ht="60" hidden="1" customHeight="1" x14ac:dyDescent="0.3">
      <c r="A37" s="52"/>
      <c r="B37" s="49"/>
      <c r="C37" s="18" t="s">
        <v>22</v>
      </c>
      <c r="D37" s="17" t="s">
        <v>19</v>
      </c>
      <c r="E37" s="16" t="s">
        <v>26</v>
      </c>
      <c r="F37" s="19" t="s">
        <v>345</v>
      </c>
      <c r="G37" s="15" t="s">
        <v>68</v>
      </c>
      <c r="H37" s="15" t="s">
        <v>75</v>
      </c>
      <c r="I37" s="12"/>
      <c r="J37" s="35"/>
      <c r="K37" s="13" t="s">
        <v>408</v>
      </c>
    </row>
    <row r="38" spans="1:11" ht="60" hidden="1" customHeight="1" x14ac:dyDescent="0.3">
      <c r="A38" s="52"/>
      <c r="B38" s="49"/>
      <c r="C38" s="18" t="s">
        <v>23</v>
      </c>
      <c r="D38" s="17" t="s">
        <v>20</v>
      </c>
      <c r="E38" s="16" t="s">
        <v>27</v>
      </c>
      <c r="F38" s="19" t="s">
        <v>88</v>
      </c>
      <c r="G38" s="15" t="s">
        <v>68</v>
      </c>
      <c r="H38" s="15" t="s">
        <v>75</v>
      </c>
      <c r="I38" s="12"/>
      <c r="J38" s="35"/>
      <c r="K38" s="2" t="s">
        <v>408</v>
      </c>
    </row>
    <row r="39" spans="1:11" ht="60" hidden="1" customHeight="1" x14ac:dyDescent="0.3">
      <c r="A39" s="52" t="s">
        <v>384</v>
      </c>
      <c r="B39" s="49" t="s">
        <v>33</v>
      </c>
      <c r="C39" s="18" t="s">
        <v>28</v>
      </c>
      <c r="D39" s="17" t="s">
        <v>34</v>
      </c>
      <c r="E39" s="18" t="s">
        <v>25</v>
      </c>
      <c r="F39" s="19" t="s">
        <v>89</v>
      </c>
      <c r="G39" s="17" t="s">
        <v>68</v>
      </c>
      <c r="H39" s="17" t="s">
        <v>75</v>
      </c>
      <c r="I39" s="12"/>
      <c r="J39" s="35"/>
      <c r="K39" s="13" t="s">
        <v>413</v>
      </c>
    </row>
    <row r="40" spans="1:11" ht="60" customHeight="1" x14ac:dyDescent="0.3">
      <c r="A40" s="52"/>
      <c r="B40" s="49"/>
      <c r="C40" s="18" t="s">
        <v>29</v>
      </c>
      <c r="D40" s="17" t="s">
        <v>35</v>
      </c>
      <c r="E40" s="16" t="s">
        <v>30</v>
      </c>
      <c r="F40" s="19" t="s">
        <v>90</v>
      </c>
      <c r="G40" s="15" t="s">
        <v>68</v>
      </c>
      <c r="H40" s="15" t="s">
        <v>137</v>
      </c>
      <c r="I40" s="15" t="s">
        <v>83</v>
      </c>
      <c r="J40" s="36" t="s">
        <v>156</v>
      </c>
      <c r="K40" s="13" t="s">
        <v>413</v>
      </c>
    </row>
    <row r="41" spans="1:11" ht="60" customHeight="1" x14ac:dyDescent="0.3">
      <c r="A41" s="52"/>
      <c r="B41" s="49"/>
      <c r="C41" s="18" t="s">
        <v>385</v>
      </c>
      <c r="D41" s="17" t="s">
        <v>36</v>
      </c>
      <c r="E41" s="16" t="s">
        <v>387</v>
      </c>
      <c r="F41" s="19" t="s">
        <v>346</v>
      </c>
      <c r="G41" s="15" t="s">
        <v>68</v>
      </c>
      <c r="H41" s="15" t="s">
        <v>137</v>
      </c>
      <c r="I41" s="15" t="s">
        <v>83</v>
      </c>
      <c r="J41" s="34" t="s">
        <v>158</v>
      </c>
      <c r="K41" s="13" t="s">
        <v>413</v>
      </c>
    </row>
    <row r="42" spans="1:11" ht="60" customHeight="1" x14ac:dyDescent="0.3">
      <c r="A42" s="52"/>
      <c r="B42" s="49"/>
      <c r="C42" s="48" t="s">
        <v>386</v>
      </c>
      <c r="D42" s="49" t="s">
        <v>37</v>
      </c>
      <c r="E42" s="16" t="s">
        <v>388</v>
      </c>
      <c r="F42" s="19" t="s">
        <v>91</v>
      </c>
      <c r="G42" s="15" t="s">
        <v>68</v>
      </c>
      <c r="H42" s="15" t="s">
        <v>137</v>
      </c>
      <c r="I42" s="15" t="s">
        <v>83</v>
      </c>
      <c r="J42" s="36" t="s">
        <v>156</v>
      </c>
      <c r="K42" s="2" t="s">
        <v>418</v>
      </c>
    </row>
    <row r="43" spans="1:11" ht="60" customHeight="1" x14ac:dyDescent="0.3">
      <c r="A43" s="52"/>
      <c r="B43" s="49"/>
      <c r="C43" s="48"/>
      <c r="D43" s="49"/>
      <c r="E43" s="16" t="s">
        <v>389</v>
      </c>
      <c r="F43" s="19" t="s">
        <v>92</v>
      </c>
      <c r="G43" s="15" t="s">
        <v>68</v>
      </c>
      <c r="H43" s="15" t="s">
        <v>137</v>
      </c>
      <c r="I43" s="15" t="s">
        <v>83</v>
      </c>
      <c r="J43" s="36" t="s">
        <v>158</v>
      </c>
      <c r="K43" s="13" t="s">
        <v>418</v>
      </c>
    </row>
    <row r="44" spans="1:11" ht="60" hidden="1" customHeight="1" x14ac:dyDescent="0.3">
      <c r="A44" s="52" t="s">
        <v>390</v>
      </c>
      <c r="B44" s="49" t="s">
        <v>296</v>
      </c>
      <c r="C44" s="48" t="s">
        <v>31</v>
      </c>
      <c r="D44" s="49" t="s">
        <v>294</v>
      </c>
      <c r="E44" s="18" t="s">
        <v>391</v>
      </c>
      <c r="F44" s="19" t="s">
        <v>295</v>
      </c>
      <c r="G44" s="15" t="s">
        <v>67</v>
      </c>
      <c r="H44" s="15" t="s">
        <v>73</v>
      </c>
      <c r="I44" s="12"/>
      <c r="J44" s="35"/>
      <c r="K44" s="2" t="s">
        <v>414</v>
      </c>
    </row>
    <row r="45" spans="1:11" ht="60" customHeight="1" x14ac:dyDescent="0.3">
      <c r="A45" s="52"/>
      <c r="B45" s="49"/>
      <c r="C45" s="48"/>
      <c r="D45" s="49"/>
      <c r="E45" s="18" t="s">
        <v>392</v>
      </c>
      <c r="F45" s="19" t="s">
        <v>297</v>
      </c>
      <c r="G45" s="15" t="s">
        <v>68</v>
      </c>
      <c r="H45" s="15" t="s">
        <v>137</v>
      </c>
      <c r="I45" s="15" t="s">
        <v>81</v>
      </c>
      <c r="J45" s="34" t="s">
        <v>146</v>
      </c>
      <c r="K45" s="13" t="s">
        <v>414</v>
      </c>
    </row>
    <row r="46" spans="1:11" ht="60" customHeight="1" x14ac:dyDescent="0.3">
      <c r="A46" s="52"/>
      <c r="B46" s="49"/>
      <c r="C46" s="18" t="s">
        <v>32</v>
      </c>
      <c r="D46" s="17" t="s">
        <v>298</v>
      </c>
      <c r="E46" s="18" t="s">
        <v>393</v>
      </c>
      <c r="F46" s="19" t="s">
        <v>299</v>
      </c>
      <c r="G46" s="15" t="s">
        <v>68</v>
      </c>
      <c r="H46" s="15" t="s">
        <v>137</v>
      </c>
      <c r="I46" s="15" t="s">
        <v>81</v>
      </c>
      <c r="J46" s="34" t="s">
        <v>148</v>
      </c>
      <c r="K46" s="13" t="s">
        <v>414</v>
      </c>
    </row>
    <row r="47" spans="1:11" ht="60" hidden="1" customHeight="1" x14ac:dyDescent="0.3">
      <c r="A47" s="52" t="s">
        <v>94</v>
      </c>
      <c r="B47" s="49" t="s">
        <v>93</v>
      </c>
      <c r="C47" s="48" t="s">
        <v>38</v>
      </c>
      <c r="D47" s="49" t="s">
        <v>99</v>
      </c>
      <c r="E47" s="18" t="s">
        <v>39</v>
      </c>
      <c r="F47" s="19" t="s">
        <v>98</v>
      </c>
      <c r="G47" s="17" t="s">
        <v>68</v>
      </c>
      <c r="H47" s="17" t="s">
        <v>75</v>
      </c>
      <c r="I47" s="12"/>
      <c r="J47" s="35"/>
      <c r="K47" s="13" t="s">
        <v>408</v>
      </c>
    </row>
    <row r="48" spans="1:11" ht="60" hidden="1" customHeight="1" x14ac:dyDescent="0.3">
      <c r="A48" s="52"/>
      <c r="B48" s="49"/>
      <c r="C48" s="48"/>
      <c r="D48" s="49"/>
      <c r="E48" s="18" t="s">
        <v>40</v>
      </c>
      <c r="F48" s="19" t="s">
        <v>100</v>
      </c>
      <c r="G48" s="17" t="s">
        <v>68</v>
      </c>
      <c r="H48" s="17" t="s">
        <v>75</v>
      </c>
      <c r="I48" s="12"/>
      <c r="J48" s="35"/>
      <c r="K48" s="13" t="s">
        <v>408</v>
      </c>
    </row>
    <row r="49" spans="1:11" ht="60" hidden="1" customHeight="1" x14ac:dyDescent="0.3">
      <c r="A49" s="52" t="s">
        <v>394</v>
      </c>
      <c r="B49" s="49" t="s">
        <v>43</v>
      </c>
      <c r="C49" s="48" t="s">
        <v>41</v>
      </c>
      <c r="D49" s="49" t="s">
        <v>102</v>
      </c>
      <c r="E49" s="18" t="s">
        <v>95</v>
      </c>
      <c r="F49" s="19" t="s">
        <v>347</v>
      </c>
      <c r="G49" s="17" t="s">
        <v>68</v>
      </c>
      <c r="H49" s="17" t="s">
        <v>75</v>
      </c>
      <c r="I49" s="12"/>
      <c r="J49" s="35"/>
      <c r="K49" s="13" t="s">
        <v>413</v>
      </c>
    </row>
    <row r="50" spans="1:11" ht="60" customHeight="1" x14ac:dyDescent="0.3">
      <c r="A50" s="52"/>
      <c r="B50" s="49"/>
      <c r="C50" s="48"/>
      <c r="D50" s="49"/>
      <c r="E50" s="18" t="s">
        <v>96</v>
      </c>
      <c r="F50" s="19" t="s">
        <v>101</v>
      </c>
      <c r="G50" s="15" t="s">
        <v>68</v>
      </c>
      <c r="H50" s="15" t="s">
        <v>137</v>
      </c>
      <c r="I50" s="15" t="s">
        <v>83</v>
      </c>
      <c r="J50" s="34" t="s">
        <v>158</v>
      </c>
      <c r="K50" s="13" t="s">
        <v>413</v>
      </c>
    </row>
    <row r="51" spans="1:11" ht="60" hidden="1" customHeight="1" x14ac:dyDescent="0.3">
      <c r="A51" s="52"/>
      <c r="B51" s="49"/>
      <c r="C51" s="48" t="s">
        <v>42</v>
      </c>
      <c r="D51" s="49" t="s">
        <v>44</v>
      </c>
      <c r="E51" s="16" t="s">
        <v>97</v>
      </c>
      <c r="F51" s="19" t="s">
        <v>103</v>
      </c>
      <c r="G51" s="15" t="s">
        <v>68</v>
      </c>
      <c r="H51" s="15" t="s">
        <v>75</v>
      </c>
      <c r="I51" s="12"/>
      <c r="J51" s="35"/>
      <c r="K51" s="13" t="s">
        <v>408</v>
      </c>
    </row>
    <row r="52" spans="1:11" ht="60" hidden="1" customHeight="1" thickBot="1" x14ac:dyDescent="0.35">
      <c r="A52" s="54"/>
      <c r="B52" s="53"/>
      <c r="C52" s="64"/>
      <c r="D52" s="53"/>
      <c r="E52" s="37" t="s">
        <v>395</v>
      </c>
      <c r="F52" s="27" t="s">
        <v>104</v>
      </c>
      <c r="G52" s="28" t="s">
        <v>68</v>
      </c>
      <c r="H52" s="28" t="s">
        <v>75</v>
      </c>
      <c r="I52" s="29"/>
      <c r="J52" s="41"/>
      <c r="K52" s="13" t="s">
        <v>413</v>
      </c>
    </row>
    <row r="53" spans="1:11" ht="60" hidden="1" customHeight="1" thickTop="1" x14ac:dyDescent="0.3">
      <c r="A53" s="63" t="s">
        <v>122</v>
      </c>
      <c r="B53" s="56" t="s">
        <v>125</v>
      </c>
      <c r="C53" s="55" t="s">
        <v>116</v>
      </c>
      <c r="D53" s="56" t="s">
        <v>175</v>
      </c>
      <c r="E53" s="21" t="s">
        <v>118</v>
      </c>
      <c r="F53" s="24" t="s">
        <v>275</v>
      </c>
      <c r="G53" s="30" t="s">
        <v>68</v>
      </c>
      <c r="H53" s="30" t="s">
        <v>75</v>
      </c>
      <c r="I53" s="25"/>
      <c r="J53" s="42"/>
      <c r="K53" s="13" t="s">
        <v>412</v>
      </c>
    </row>
    <row r="54" spans="1:11" ht="60" customHeight="1" x14ac:dyDescent="0.3">
      <c r="A54" s="52"/>
      <c r="B54" s="49"/>
      <c r="C54" s="48"/>
      <c r="D54" s="49"/>
      <c r="E54" s="18" t="s">
        <v>119</v>
      </c>
      <c r="F54" s="19" t="s">
        <v>276</v>
      </c>
      <c r="G54" s="17" t="s">
        <v>68</v>
      </c>
      <c r="H54" s="15" t="s">
        <v>137</v>
      </c>
      <c r="I54" s="15" t="s">
        <v>82</v>
      </c>
      <c r="J54" s="34" t="s">
        <v>153</v>
      </c>
      <c r="K54" s="2" t="s">
        <v>411</v>
      </c>
    </row>
    <row r="55" spans="1:11" ht="60" hidden="1" customHeight="1" x14ac:dyDescent="0.3">
      <c r="A55" s="52"/>
      <c r="B55" s="49"/>
      <c r="C55" s="48"/>
      <c r="D55" s="49"/>
      <c r="E55" s="18" t="s">
        <v>277</v>
      </c>
      <c r="F55" s="19" t="s">
        <v>211</v>
      </c>
      <c r="G55" s="15" t="s">
        <v>68</v>
      </c>
      <c r="H55" s="15" t="s">
        <v>75</v>
      </c>
      <c r="I55" s="12"/>
      <c r="J55" s="35"/>
      <c r="K55" s="13" t="s">
        <v>412</v>
      </c>
    </row>
    <row r="56" spans="1:11" ht="60" hidden="1" customHeight="1" x14ac:dyDescent="0.3">
      <c r="A56" s="52"/>
      <c r="B56" s="49"/>
      <c r="C56" s="48" t="s">
        <v>117</v>
      </c>
      <c r="D56" s="49" t="s">
        <v>136</v>
      </c>
      <c r="E56" s="16" t="s">
        <v>120</v>
      </c>
      <c r="F56" s="19" t="s">
        <v>212</v>
      </c>
      <c r="G56" s="15" t="s">
        <v>68</v>
      </c>
      <c r="H56" s="15" t="s">
        <v>75</v>
      </c>
      <c r="I56" s="12"/>
      <c r="J56" s="35"/>
      <c r="K56" s="2" t="s">
        <v>412</v>
      </c>
    </row>
    <row r="57" spans="1:11" ht="60" hidden="1" customHeight="1" x14ac:dyDescent="0.3">
      <c r="A57" s="52"/>
      <c r="B57" s="49"/>
      <c r="C57" s="48"/>
      <c r="D57" s="49"/>
      <c r="E57" s="18" t="s">
        <v>121</v>
      </c>
      <c r="F57" s="19" t="s">
        <v>213</v>
      </c>
      <c r="G57" s="15" t="s">
        <v>68</v>
      </c>
      <c r="H57" s="15" t="s">
        <v>75</v>
      </c>
      <c r="I57" s="12"/>
      <c r="J57" s="35"/>
      <c r="K57" s="13" t="s">
        <v>412</v>
      </c>
    </row>
    <row r="58" spans="1:11" ht="60" customHeight="1" x14ac:dyDescent="0.3">
      <c r="A58" s="52"/>
      <c r="B58" s="49"/>
      <c r="C58" s="48" t="s">
        <v>172</v>
      </c>
      <c r="D58" s="49" t="s">
        <v>171</v>
      </c>
      <c r="E58" s="16" t="s">
        <v>173</v>
      </c>
      <c r="F58" s="19" t="s">
        <v>210</v>
      </c>
      <c r="G58" s="15" t="s">
        <v>68</v>
      </c>
      <c r="H58" s="15" t="s">
        <v>137</v>
      </c>
      <c r="I58" s="15" t="s">
        <v>83</v>
      </c>
      <c r="J58" s="36" t="s">
        <v>157</v>
      </c>
      <c r="K58" s="13" t="s">
        <v>412</v>
      </c>
    </row>
    <row r="59" spans="1:11" ht="60" customHeight="1" x14ac:dyDescent="0.3">
      <c r="A59" s="52"/>
      <c r="B59" s="49"/>
      <c r="C59" s="48"/>
      <c r="D59" s="49"/>
      <c r="E59" s="18" t="s">
        <v>174</v>
      </c>
      <c r="F59" s="19" t="s">
        <v>214</v>
      </c>
      <c r="G59" s="15" t="s">
        <v>68</v>
      </c>
      <c r="H59" s="15" t="s">
        <v>137</v>
      </c>
      <c r="I59" s="15" t="s">
        <v>83</v>
      </c>
      <c r="J59" s="36" t="s">
        <v>158</v>
      </c>
      <c r="K59" s="2" t="s">
        <v>410</v>
      </c>
    </row>
    <row r="60" spans="1:11" ht="60" hidden="1" customHeight="1" x14ac:dyDescent="0.3">
      <c r="A60" s="52" t="s">
        <v>135</v>
      </c>
      <c r="B60" s="49" t="s">
        <v>215</v>
      </c>
      <c r="C60" s="18" t="s">
        <v>123</v>
      </c>
      <c r="D60" s="17" t="s">
        <v>218</v>
      </c>
      <c r="E60" s="18" t="s">
        <v>126</v>
      </c>
      <c r="F60" s="19" t="s">
        <v>216</v>
      </c>
      <c r="G60" s="15" t="s">
        <v>67</v>
      </c>
      <c r="H60" s="15" t="s">
        <v>69</v>
      </c>
      <c r="I60" s="12"/>
      <c r="J60" s="35"/>
      <c r="K60" s="2" t="s">
        <v>83</v>
      </c>
    </row>
    <row r="61" spans="1:11" ht="60" hidden="1" customHeight="1" x14ac:dyDescent="0.3">
      <c r="A61" s="52"/>
      <c r="B61" s="49"/>
      <c r="C61" s="48" t="s">
        <v>124</v>
      </c>
      <c r="D61" s="49" t="s">
        <v>219</v>
      </c>
      <c r="E61" s="16" t="s">
        <v>127</v>
      </c>
      <c r="F61" s="19" t="s">
        <v>217</v>
      </c>
      <c r="G61" s="15" t="s">
        <v>67</v>
      </c>
      <c r="H61" s="15" t="s">
        <v>69</v>
      </c>
      <c r="I61" s="12"/>
      <c r="J61" s="35"/>
      <c r="K61" s="13" t="s">
        <v>83</v>
      </c>
    </row>
    <row r="62" spans="1:11" ht="60" hidden="1" customHeight="1" x14ac:dyDescent="0.3">
      <c r="A62" s="52"/>
      <c r="B62" s="49"/>
      <c r="C62" s="48"/>
      <c r="D62" s="49"/>
      <c r="E62" s="18" t="s">
        <v>128</v>
      </c>
      <c r="F62" s="19" t="s">
        <v>220</v>
      </c>
      <c r="G62" s="15" t="s">
        <v>67</v>
      </c>
      <c r="H62" s="15" t="s">
        <v>69</v>
      </c>
      <c r="I62" s="12"/>
      <c r="J62" s="35"/>
      <c r="K62" s="13" t="s">
        <v>83</v>
      </c>
    </row>
    <row r="63" spans="1:11" ht="60" customHeight="1" x14ac:dyDescent="0.3">
      <c r="A63" s="52" t="s">
        <v>226</v>
      </c>
      <c r="B63" s="49" t="s">
        <v>227</v>
      </c>
      <c r="C63" s="48" t="s">
        <v>129</v>
      </c>
      <c r="D63" s="49" t="s">
        <v>221</v>
      </c>
      <c r="E63" s="18" t="s">
        <v>131</v>
      </c>
      <c r="F63" s="19" t="s">
        <v>228</v>
      </c>
      <c r="G63" s="15" t="s">
        <v>68</v>
      </c>
      <c r="H63" s="15" t="s">
        <v>137</v>
      </c>
      <c r="I63" s="15" t="s">
        <v>83</v>
      </c>
      <c r="J63" s="34" t="s">
        <v>157</v>
      </c>
    </row>
    <row r="64" spans="1:11" ht="60" customHeight="1" x14ac:dyDescent="0.3">
      <c r="A64" s="52"/>
      <c r="B64" s="49"/>
      <c r="C64" s="48"/>
      <c r="D64" s="49"/>
      <c r="E64" s="18" t="s">
        <v>132</v>
      </c>
      <c r="F64" s="19" t="s">
        <v>225</v>
      </c>
      <c r="G64" s="15" t="s">
        <v>68</v>
      </c>
      <c r="H64" s="15" t="s">
        <v>137</v>
      </c>
      <c r="I64" s="15" t="s">
        <v>83</v>
      </c>
      <c r="J64" s="34" t="s">
        <v>155</v>
      </c>
    </row>
    <row r="65" spans="1:11" ht="60" customHeight="1" x14ac:dyDescent="0.3">
      <c r="A65" s="52"/>
      <c r="B65" s="49"/>
      <c r="C65" s="48" t="s">
        <v>130</v>
      </c>
      <c r="D65" s="49" t="s">
        <v>264</v>
      </c>
      <c r="E65" s="16" t="s">
        <v>133</v>
      </c>
      <c r="F65" s="19" t="s">
        <v>224</v>
      </c>
      <c r="G65" s="15" t="s">
        <v>68</v>
      </c>
      <c r="H65" s="15" t="s">
        <v>137</v>
      </c>
      <c r="I65" s="15" t="s">
        <v>83</v>
      </c>
      <c r="J65" s="34" t="s">
        <v>157</v>
      </c>
    </row>
    <row r="66" spans="1:11" ht="60" customHeight="1" x14ac:dyDescent="0.3">
      <c r="A66" s="52"/>
      <c r="B66" s="49"/>
      <c r="C66" s="48"/>
      <c r="D66" s="49"/>
      <c r="E66" s="18" t="s">
        <v>134</v>
      </c>
      <c r="F66" s="19" t="s">
        <v>265</v>
      </c>
      <c r="G66" s="15" t="s">
        <v>68</v>
      </c>
      <c r="H66" s="15" t="s">
        <v>137</v>
      </c>
      <c r="I66" s="15" t="s">
        <v>83</v>
      </c>
      <c r="J66" s="34" t="s">
        <v>157</v>
      </c>
    </row>
    <row r="67" spans="1:11" ht="60" hidden="1" customHeight="1" x14ac:dyDescent="0.3">
      <c r="A67" s="52" t="s">
        <v>177</v>
      </c>
      <c r="B67" s="49" t="s">
        <v>176</v>
      </c>
      <c r="C67" s="48" t="s">
        <v>111</v>
      </c>
      <c r="D67" s="49" t="s">
        <v>258</v>
      </c>
      <c r="E67" s="18" t="s">
        <v>113</v>
      </c>
      <c r="F67" s="19" t="s">
        <v>280</v>
      </c>
      <c r="G67" s="15" t="s">
        <v>67</v>
      </c>
      <c r="H67" s="15" t="s">
        <v>71</v>
      </c>
      <c r="I67" s="12"/>
      <c r="J67" s="35"/>
      <c r="K67" s="2" t="s">
        <v>412</v>
      </c>
    </row>
    <row r="68" spans="1:11" ht="60" hidden="1" customHeight="1" x14ac:dyDescent="0.3">
      <c r="A68" s="52"/>
      <c r="B68" s="49"/>
      <c r="C68" s="48"/>
      <c r="D68" s="49"/>
      <c r="E68" s="18" t="s">
        <v>114</v>
      </c>
      <c r="F68" s="19" t="s">
        <v>259</v>
      </c>
      <c r="G68" s="15" t="s">
        <v>68</v>
      </c>
      <c r="H68" s="15" t="s">
        <v>75</v>
      </c>
      <c r="I68" s="12"/>
      <c r="J68" s="35"/>
      <c r="K68" s="2" t="s">
        <v>412</v>
      </c>
    </row>
    <row r="69" spans="1:11" ht="60" hidden="1" customHeight="1" x14ac:dyDescent="0.3">
      <c r="A69" s="52"/>
      <c r="B69" s="49"/>
      <c r="C69" s="48"/>
      <c r="D69" s="49"/>
      <c r="E69" s="18" t="s">
        <v>279</v>
      </c>
      <c r="F69" s="19" t="s">
        <v>260</v>
      </c>
      <c r="G69" s="15" t="s">
        <v>68</v>
      </c>
      <c r="H69" s="15" t="s">
        <v>75</v>
      </c>
      <c r="I69" s="12"/>
      <c r="J69" s="35"/>
      <c r="K69" s="2" t="s">
        <v>412</v>
      </c>
    </row>
    <row r="70" spans="1:11" ht="60" hidden="1" customHeight="1" x14ac:dyDescent="0.3">
      <c r="A70" s="52"/>
      <c r="B70" s="49"/>
      <c r="C70" s="18" t="s">
        <v>112</v>
      </c>
      <c r="D70" s="17" t="s">
        <v>261</v>
      </c>
      <c r="E70" s="16" t="s">
        <v>115</v>
      </c>
      <c r="F70" s="19" t="s">
        <v>262</v>
      </c>
      <c r="G70" s="15" t="s">
        <v>68</v>
      </c>
      <c r="H70" s="15" t="s">
        <v>75</v>
      </c>
      <c r="I70" s="12"/>
      <c r="J70" s="35"/>
      <c r="K70" s="2" t="s">
        <v>412</v>
      </c>
    </row>
    <row r="71" spans="1:11" ht="60" hidden="1" customHeight="1" x14ac:dyDescent="0.3">
      <c r="A71" s="52" t="s">
        <v>178</v>
      </c>
      <c r="B71" s="49" t="s">
        <v>179</v>
      </c>
      <c r="C71" s="51" t="s">
        <v>194</v>
      </c>
      <c r="D71" s="49" t="s">
        <v>282</v>
      </c>
      <c r="E71" s="16" t="s">
        <v>184</v>
      </c>
      <c r="F71" s="19" t="s">
        <v>281</v>
      </c>
      <c r="G71" s="15" t="s">
        <v>67</v>
      </c>
      <c r="H71" s="15" t="s">
        <v>71</v>
      </c>
      <c r="I71" s="12"/>
      <c r="J71" s="35"/>
    </row>
    <row r="72" spans="1:11" ht="60" hidden="1" customHeight="1" x14ac:dyDescent="0.3">
      <c r="A72" s="52"/>
      <c r="B72" s="49"/>
      <c r="C72" s="51"/>
      <c r="D72" s="49"/>
      <c r="E72" s="16" t="s">
        <v>185</v>
      </c>
      <c r="F72" s="19" t="s">
        <v>293</v>
      </c>
      <c r="G72" s="15" t="s">
        <v>67</v>
      </c>
      <c r="H72" s="15" t="s">
        <v>73</v>
      </c>
      <c r="I72" s="12"/>
      <c r="J72" s="35"/>
      <c r="K72" s="2" t="s">
        <v>414</v>
      </c>
    </row>
    <row r="73" spans="1:11" ht="60" hidden="1" customHeight="1" x14ac:dyDescent="0.3">
      <c r="A73" s="52"/>
      <c r="B73" s="49"/>
      <c r="C73" s="22" t="s">
        <v>195</v>
      </c>
      <c r="D73" s="23" t="s">
        <v>263</v>
      </c>
      <c r="E73" s="22" t="s">
        <v>186</v>
      </c>
      <c r="F73" s="19" t="s">
        <v>416</v>
      </c>
      <c r="G73" s="23" t="s">
        <v>67</v>
      </c>
      <c r="H73" s="23" t="s">
        <v>72</v>
      </c>
      <c r="I73" s="12"/>
      <c r="J73" s="35"/>
      <c r="K73" s="2" t="s">
        <v>414</v>
      </c>
    </row>
    <row r="74" spans="1:11" ht="60" hidden="1" customHeight="1" x14ac:dyDescent="0.3">
      <c r="A74" s="52" t="s">
        <v>180</v>
      </c>
      <c r="B74" s="49" t="s">
        <v>183</v>
      </c>
      <c r="C74" s="16" t="s">
        <v>192</v>
      </c>
      <c r="D74" s="15" t="s">
        <v>283</v>
      </c>
      <c r="E74" s="16" t="s">
        <v>187</v>
      </c>
      <c r="F74" s="19" t="s">
        <v>287</v>
      </c>
      <c r="G74" s="15" t="s">
        <v>67</v>
      </c>
      <c r="H74" s="15" t="s">
        <v>71</v>
      </c>
      <c r="I74" s="12"/>
      <c r="J74" s="35"/>
    </row>
    <row r="75" spans="1:11" ht="60" customHeight="1" x14ac:dyDescent="0.3">
      <c r="A75" s="52"/>
      <c r="B75" s="49"/>
      <c r="C75" s="51" t="s">
        <v>193</v>
      </c>
      <c r="D75" s="50" t="s">
        <v>253</v>
      </c>
      <c r="E75" s="16" t="s">
        <v>188</v>
      </c>
      <c r="F75" s="19" t="s">
        <v>254</v>
      </c>
      <c r="G75" s="15" t="s">
        <v>68</v>
      </c>
      <c r="H75" s="15" t="s">
        <v>137</v>
      </c>
      <c r="I75" s="15" t="s">
        <v>80</v>
      </c>
      <c r="J75" s="34" t="s">
        <v>144</v>
      </c>
      <c r="K75" s="2" t="s">
        <v>413</v>
      </c>
    </row>
    <row r="76" spans="1:11" ht="60" hidden="1" customHeight="1" x14ac:dyDescent="0.3">
      <c r="A76" s="52"/>
      <c r="B76" s="49"/>
      <c r="C76" s="51"/>
      <c r="D76" s="50"/>
      <c r="E76" s="16" t="s">
        <v>189</v>
      </c>
      <c r="F76" s="19" t="s">
        <v>274</v>
      </c>
      <c r="G76" s="15" t="s">
        <v>68</v>
      </c>
      <c r="H76" s="15" t="s">
        <v>75</v>
      </c>
      <c r="I76" s="12"/>
      <c r="J76" s="35"/>
      <c r="K76" s="2" t="s">
        <v>413</v>
      </c>
    </row>
    <row r="77" spans="1:11" ht="60" customHeight="1" x14ac:dyDescent="0.3">
      <c r="A77" s="52"/>
      <c r="B77" s="49"/>
      <c r="C77" s="51" t="s">
        <v>286</v>
      </c>
      <c r="D77" s="50" t="s">
        <v>255</v>
      </c>
      <c r="E77" s="16" t="s">
        <v>284</v>
      </c>
      <c r="F77" s="19" t="s">
        <v>256</v>
      </c>
      <c r="G77" s="15" t="s">
        <v>68</v>
      </c>
      <c r="H77" s="15" t="s">
        <v>137</v>
      </c>
      <c r="I77" s="15" t="s">
        <v>80</v>
      </c>
      <c r="J77" s="34" t="s">
        <v>144</v>
      </c>
    </row>
    <row r="78" spans="1:11" ht="60" hidden="1" customHeight="1" x14ac:dyDescent="0.3">
      <c r="A78" s="52"/>
      <c r="B78" s="49"/>
      <c r="C78" s="51"/>
      <c r="D78" s="50"/>
      <c r="E78" s="16" t="s">
        <v>285</v>
      </c>
      <c r="F78" s="19" t="s">
        <v>257</v>
      </c>
      <c r="G78" s="15" t="s">
        <v>68</v>
      </c>
      <c r="H78" s="15" t="s">
        <v>75</v>
      </c>
      <c r="I78" s="12"/>
      <c r="J78" s="35"/>
    </row>
    <row r="79" spans="1:11" ht="60" hidden="1" customHeight="1" x14ac:dyDescent="0.3">
      <c r="A79" s="52" t="s">
        <v>181</v>
      </c>
      <c r="B79" s="49" t="s">
        <v>182</v>
      </c>
      <c r="C79" s="16" t="s">
        <v>191</v>
      </c>
      <c r="D79" s="15" t="s">
        <v>291</v>
      </c>
      <c r="E79" s="16" t="s">
        <v>190</v>
      </c>
      <c r="F79" s="19" t="s">
        <v>292</v>
      </c>
      <c r="G79" s="15" t="s">
        <v>67</v>
      </c>
      <c r="H79" s="15" t="s">
        <v>71</v>
      </c>
      <c r="I79" s="12"/>
      <c r="J79" s="35"/>
      <c r="K79" s="2" t="s">
        <v>412</v>
      </c>
    </row>
    <row r="80" spans="1:11" ht="60" hidden="1" customHeight="1" x14ac:dyDescent="0.3">
      <c r="A80" s="52"/>
      <c r="B80" s="49"/>
      <c r="C80" s="51" t="s">
        <v>288</v>
      </c>
      <c r="D80" s="50" t="s">
        <v>250</v>
      </c>
      <c r="E80" s="16" t="s">
        <v>289</v>
      </c>
      <c r="F80" s="19" t="s">
        <v>252</v>
      </c>
      <c r="G80" s="15" t="s">
        <v>68</v>
      </c>
      <c r="H80" s="15" t="s">
        <v>75</v>
      </c>
      <c r="I80" s="12"/>
      <c r="J80" s="35"/>
      <c r="K80" s="2" t="s">
        <v>412</v>
      </c>
    </row>
    <row r="81" spans="1:11" ht="60" customHeight="1" x14ac:dyDescent="0.3">
      <c r="A81" s="52"/>
      <c r="B81" s="49"/>
      <c r="C81" s="51"/>
      <c r="D81" s="50"/>
      <c r="E81" s="16" t="s">
        <v>290</v>
      </c>
      <c r="F81" s="19" t="s">
        <v>251</v>
      </c>
      <c r="G81" s="15" t="s">
        <v>68</v>
      </c>
      <c r="H81" s="15" t="s">
        <v>137</v>
      </c>
      <c r="I81" s="15" t="s">
        <v>84</v>
      </c>
      <c r="J81" s="34" t="s">
        <v>159</v>
      </c>
    </row>
    <row r="82" spans="1:11" ht="60" hidden="1" customHeight="1" x14ac:dyDescent="0.3">
      <c r="A82" s="52" t="s">
        <v>196</v>
      </c>
      <c r="B82" s="49" t="s">
        <v>197</v>
      </c>
      <c r="C82" s="51" t="s">
        <v>105</v>
      </c>
      <c r="D82" s="50" t="s">
        <v>209</v>
      </c>
      <c r="E82" s="16" t="s">
        <v>107</v>
      </c>
      <c r="F82" s="19" t="s">
        <v>249</v>
      </c>
      <c r="G82" s="15" t="s">
        <v>68</v>
      </c>
      <c r="H82" s="15" t="s">
        <v>76</v>
      </c>
      <c r="I82" s="12"/>
      <c r="J82" s="35"/>
      <c r="K82" s="2" t="s">
        <v>417</v>
      </c>
    </row>
    <row r="83" spans="1:11" ht="60" hidden="1" customHeight="1" x14ac:dyDescent="0.3">
      <c r="A83" s="52"/>
      <c r="B83" s="49"/>
      <c r="C83" s="51"/>
      <c r="D83" s="50"/>
      <c r="E83" s="16" t="s">
        <v>108</v>
      </c>
      <c r="F83" s="19" t="s">
        <v>245</v>
      </c>
      <c r="G83" s="15" t="s">
        <v>67</v>
      </c>
      <c r="H83" s="15" t="s">
        <v>70</v>
      </c>
      <c r="I83" s="12"/>
      <c r="J83" s="35"/>
      <c r="K83" s="2" t="s">
        <v>417</v>
      </c>
    </row>
    <row r="84" spans="1:11" ht="60" hidden="1" customHeight="1" x14ac:dyDescent="0.3">
      <c r="A84" s="52"/>
      <c r="B84" s="49"/>
      <c r="C84" s="51" t="s">
        <v>106</v>
      </c>
      <c r="D84" s="50" t="s">
        <v>208</v>
      </c>
      <c r="E84" s="16" t="s">
        <v>109</v>
      </c>
      <c r="F84" s="19" t="s">
        <v>246</v>
      </c>
      <c r="G84" s="15" t="s">
        <v>68</v>
      </c>
      <c r="H84" s="15" t="s">
        <v>76</v>
      </c>
      <c r="I84" s="12"/>
      <c r="J84" s="35"/>
      <c r="K84" s="2" t="s">
        <v>417</v>
      </c>
    </row>
    <row r="85" spans="1:11" ht="60" hidden="1" customHeight="1" x14ac:dyDescent="0.3">
      <c r="A85" s="52"/>
      <c r="B85" s="49"/>
      <c r="C85" s="51"/>
      <c r="D85" s="50"/>
      <c r="E85" s="16" t="s">
        <v>110</v>
      </c>
      <c r="F85" s="19" t="s">
        <v>244</v>
      </c>
      <c r="G85" s="15" t="s">
        <v>67</v>
      </c>
      <c r="H85" s="15" t="s">
        <v>70</v>
      </c>
      <c r="I85" s="12"/>
      <c r="J85" s="35"/>
      <c r="K85" s="2" t="s">
        <v>417</v>
      </c>
    </row>
    <row r="86" spans="1:11" ht="60" hidden="1" customHeight="1" x14ac:dyDescent="0.3">
      <c r="A86" s="52" t="s">
        <v>206</v>
      </c>
      <c r="B86" s="49" t="s">
        <v>207</v>
      </c>
      <c r="C86" s="51" t="s">
        <v>203</v>
      </c>
      <c r="D86" s="50" t="s">
        <v>239</v>
      </c>
      <c r="E86" s="16" t="s">
        <v>204</v>
      </c>
      <c r="F86" s="19" t="s">
        <v>247</v>
      </c>
      <c r="G86" s="15" t="s">
        <v>68</v>
      </c>
      <c r="H86" s="15" t="s">
        <v>76</v>
      </c>
      <c r="I86" s="12"/>
      <c r="J86" s="35"/>
      <c r="K86" s="2" t="s">
        <v>419</v>
      </c>
    </row>
    <row r="87" spans="1:11" ht="60" hidden="1" customHeight="1" x14ac:dyDescent="0.3">
      <c r="A87" s="52"/>
      <c r="B87" s="49"/>
      <c r="C87" s="51"/>
      <c r="D87" s="50"/>
      <c r="E87" s="16" t="s">
        <v>205</v>
      </c>
      <c r="F87" s="19" t="s">
        <v>248</v>
      </c>
      <c r="G87" s="15" t="s">
        <v>67</v>
      </c>
      <c r="H87" s="15" t="s">
        <v>70</v>
      </c>
      <c r="I87" s="12"/>
      <c r="J87" s="35"/>
      <c r="K87" s="2" t="s">
        <v>417</v>
      </c>
    </row>
    <row r="88" spans="1:11" ht="60" customHeight="1" x14ac:dyDescent="0.3">
      <c r="A88" s="52" t="s">
        <v>232</v>
      </c>
      <c r="B88" s="49" t="s">
        <v>229</v>
      </c>
      <c r="C88" s="51" t="s">
        <v>233</v>
      </c>
      <c r="D88" s="49" t="s">
        <v>222</v>
      </c>
      <c r="E88" s="16" t="s">
        <v>235</v>
      </c>
      <c r="F88" s="19" t="s">
        <v>230</v>
      </c>
      <c r="G88" s="15" t="s">
        <v>68</v>
      </c>
      <c r="H88" s="15" t="s">
        <v>137</v>
      </c>
      <c r="I88" s="15" t="s">
        <v>82</v>
      </c>
      <c r="J88" s="34" t="s">
        <v>151</v>
      </c>
      <c r="K88" s="2" t="s">
        <v>418</v>
      </c>
    </row>
    <row r="89" spans="1:11" ht="60" customHeight="1" x14ac:dyDescent="0.3">
      <c r="A89" s="52"/>
      <c r="B89" s="49"/>
      <c r="C89" s="51"/>
      <c r="D89" s="49"/>
      <c r="E89" s="16" t="s">
        <v>236</v>
      </c>
      <c r="F89" s="19" t="s">
        <v>231</v>
      </c>
      <c r="G89" s="15" t="s">
        <v>68</v>
      </c>
      <c r="H89" s="15" t="s">
        <v>137</v>
      </c>
      <c r="I89" s="15" t="s">
        <v>82</v>
      </c>
      <c r="J89" s="34" t="s">
        <v>153</v>
      </c>
      <c r="K89" s="2" t="s">
        <v>418</v>
      </c>
    </row>
    <row r="90" spans="1:11" ht="60" customHeight="1" x14ac:dyDescent="0.3">
      <c r="A90" s="52"/>
      <c r="B90" s="49"/>
      <c r="C90" s="51" t="s">
        <v>234</v>
      </c>
      <c r="D90" s="49" t="s">
        <v>223</v>
      </c>
      <c r="E90" s="16" t="s">
        <v>237</v>
      </c>
      <c r="F90" s="19" t="s">
        <v>405</v>
      </c>
      <c r="G90" s="15" t="s">
        <v>68</v>
      </c>
      <c r="H90" s="15" t="s">
        <v>137</v>
      </c>
      <c r="I90" s="15" t="s">
        <v>82</v>
      </c>
      <c r="J90" s="34" t="s">
        <v>151</v>
      </c>
      <c r="K90" s="2" t="s">
        <v>419</v>
      </c>
    </row>
    <row r="91" spans="1:11" ht="60" customHeight="1" x14ac:dyDescent="0.3">
      <c r="A91" s="52"/>
      <c r="B91" s="49"/>
      <c r="C91" s="51"/>
      <c r="D91" s="49"/>
      <c r="E91" s="16" t="s">
        <v>238</v>
      </c>
      <c r="F91" s="19" t="s">
        <v>404</v>
      </c>
      <c r="G91" s="15" t="s">
        <v>68</v>
      </c>
      <c r="H91" s="15" t="s">
        <v>137</v>
      </c>
      <c r="I91" s="15" t="s">
        <v>84</v>
      </c>
      <c r="J91" s="34" t="s">
        <v>159</v>
      </c>
      <c r="K91" s="2" t="s">
        <v>417</v>
      </c>
    </row>
    <row r="92" spans="1:11" ht="60" customHeight="1" x14ac:dyDescent="0.3">
      <c r="A92" s="52" t="s">
        <v>240</v>
      </c>
      <c r="B92" s="49" t="s">
        <v>241</v>
      </c>
      <c r="C92" s="51" t="s">
        <v>45</v>
      </c>
      <c r="D92" s="50" t="s">
        <v>266</v>
      </c>
      <c r="E92" s="16" t="s">
        <v>47</v>
      </c>
      <c r="F92" s="19" t="s">
        <v>267</v>
      </c>
      <c r="G92" s="15" t="s">
        <v>68</v>
      </c>
      <c r="H92" s="15" t="s">
        <v>137</v>
      </c>
      <c r="I92" s="15" t="s">
        <v>84</v>
      </c>
      <c r="J92" s="34" t="s">
        <v>163</v>
      </c>
      <c r="K92" s="2" t="s">
        <v>417</v>
      </c>
    </row>
    <row r="93" spans="1:11" ht="60" customHeight="1" x14ac:dyDescent="0.3">
      <c r="A93" s="52"/>
      <c r="B93" s="49"/>
      <c r="C93" s="51"/>
      <c r="D93" s="50"/>
      <c r="E93" s="16" t="s">
        <v>48</v>
      </c>
      <c r="F93" s="19" t="s">
        <v>243</v>
      </c>
      <c r="G93" s="15" t="s">
        <v>68</v>
      </c>
      <c r="H93" s="15" t="s">
        <v>137</v>
      </c>
      <c r="I93" s="15" t="s">
        <v>84</v>
      </c>
      <c r="J93" s="34" t="s">
        <v>163</v>
      </c>
      <c r="K93" s="2" t="s">
        <v>419</v>
      </c>
    </row>
    <row r="94" spans="1:11" ht="60" customHeight="1" x14ac:dyDescent="0.3">
      <c r="A94" s="52"/>
      <c r="B94" s="49"/>
      <c r="C94" s="16" t="s">
        <v>46</v>
      </c>
      <c r="D94" s="15" t="s">
        <v>268</v>
      </c>
      <c r="E94" s="16" t="s">
        <v>49</v>
      </c>
      <c r="F94" s="19" t="s">
        <v>242</v>
      </c>
      <c r="G94" s="15" t="s">
        <v>68</v>
      </c>
      <c r="H94" s="15" t="s">
        <v>137</v>
      </c>
      <c r="I94" s="15" t="s">
        <v>81</v>
      </c>
      <c r="J94" s="34" t="s">
        <v>147</v>
      </c>
      <c r="K94" s="2" t="s">
        <v>419</v>
      </c>
    </row>
    <row r="95" spans="1:11" ht="60" hidden="1" customHeight="1" x14ac:dyDescent="0.3">
      <c r="A95" s="52" t="s">
        <v>323</v>
      </c>
      <c r="B95" s="49" t="s">
        <v>198</v>
      </c>
      <c r="C95" s="16" t="s">
        <v>201</v>
      </c>
      <c r="D95" s="15" t="s">
        <v>272</v>
      </c>
      <c r="E95" s="16" t="s">
        <v>199</v>
      </c>
      <c r="F95" s="19" t="s">
        <v>269</v>
      </c>
      <c r="G95" s="15" t="s">
        <v>67</v>
      </c>
      <c r="H95" s="15" t="s">
        <v>69</v>
      </c>
      <c r="I95" s="12"/>
      <c r="J95" s="35"/>
      <c r="K95" s="2" t="s">
        <v>417</v>
      </c>
    </row>
    <row r="96" spans="1:11" ht="60" customHeight="1" thickBot="1" x14ac:dyDescent="0.35">
      <c r="A96" s="54"/>
      <c r="B96" s="53"/>
      <c r="C96" s="37" t="s">
        <v>202</v>
      </c>
      <c r="D96" s="28" t="s">
        <v>271</v>
      </c>
      <c r="E96" s="37" t="s">
        <v>200</v>
      </c>
      <c r="F96" s="27" t="s">
        <v>270</v>
      </c>
      <c r="G96" s="28" t="s">
        <v>68</v>
      </c>
      <c r="H96" s="28" t="s">
        <v>137</v>
      </c>
      <c r="I96" s="28" t="s">
        <v>168</v>
      </c>
      <c r="J96" s="39" t="s">
        <v>142</v>
      </c>
      <c r="K96" s="2" t="s">
        <v>419</v>
      </c>
    </row>
    <row r="97" ht="60" customHeight="1" thickTop="1" x14ac:dyDescent="0.3"/>
  </sheetData>
  <autoFilter ref="A1:K96" xr:uid="{760FC937-9E13-41AF-9113-AD5C1F7234C3}">
    <filterColumn colId="7">
      <filters>
        <filter val="NonFunctional"/>
      </filters>
    </filterColumn>
  </autoFilter>
  <mergeCells count="100">
    <mergeCell ref="A30:A32"/>
    <mergeCell ref="B30:B32"/>
    <mergeCell ref="C13:C23"/>
    <mergeCell ref="D13:D23"/>
    <mergeCell ref="C2:C6"/>
    <mergeCell ref="D2:D6"/>
    <mergeCell ref="C7:C12"/>
    <mergeCell ref="D7:D12"/>
    <mergeCell ref="A2:A25"/>
    <mergeCell ref="B2:B25"/>
    <mergeCell ref="D44:D45"/>
    <mergeCell ref="C44:C45"/>
    <mergeCell ref="A88:A91"/>
    <mergeCell ref="B88:B91"/>
    <mergeCell ref="B67:B70"/>
    <mergeCell ref="A67:A70"/>
    <mergeCell ref="A71:A73"/>
    <mergeCell ref="B71:B73"/>
    <mergeCell ref="B74:B78"/>
    <mergeCell ref="A74:A78"/>
    <mergeCell ref="A79:A81"/>
    <mergeCell ref="B79:B81"/>
    <mergeCell ref="D61:D62"/>
    <mergeCell ref="C61:C62"/>
    <mergeCell ref="C90:C91"/>
    <mergeCell ref="C88:C89"/>
    <mergeCell ref="D88:D89"/>
    <mergeCell ref="D90:D91"/>
    <mergeCell ref="D67:D69"/>
    <mergeCell ref="C67:C69"/>
    <mergeCell ref="C71:C72"/>
    <mergeCell ref="D71:D72"/>
    <mergeCell ref="C77:C78"/>
    <mergeCell ref="C75:C76"/>
    <mergeCell ref="A49:A52"/>
    <mergeCell ref="B49:B52"/>
    <mergeCell ref="D51:D52"/>
    <mergeCell ref="C51:C52"/>
    <mergeCell ref="C49:C50"/>
    <mergeCell ref="D49:D50"/>
    <mergeCell ref="A53:A59"/>
    <mergeCell ref="B53:B59"/>
    <mergeCell ref="D58:D59"/>
    <mergeCell ref="C58:C59"/>
    <mergeCell ref="C56:C57"/>
    <mergeCell ref="D56:D57"/>
    <mergeCell ref="C53:C55"/>
    <mergeCell ref="D53:D55"/>
    <mergeCell ref="D75:D76"/>
    <mergeCell ref="D77:D78"/>
    <mergeCell ref="B60:B62"/>
    <mergeCell ref="A60:A62"/>
    <mergeCell ref="A63:A66"/>
    <mergeCell ref="B63:B66"/>
    <mergeCell ref="C47:C48"/>
    <mergeCell ref="D47:D48"/>
    <mergeCell ref="A47:A48"/>
    <mergeCell ref="B47:B48"/>
    <mergeCell ref="C26:C28"/>
    <mergeCell ref="D26:D28"/>
    <mergeCell ref="C24:C25"/>
    <mergeCell ref="D24:D25"/>
    <mergeCell ref="D34:D35"/>
    <mergeCell ref="C34:C35"/>
    <mergeCell ref="D30:D32"/>
    <mergeCell ref="C30:C32"/>
    <mergeCell ref="D42:D43"/>
    <mergeCell ref="B39:B43"/>
    <mergeCell ref="C42:C43"/>
    <mergeCell ref="A39:A43"/>
    <mergeCell ref="B26:B29"/>
    <mergeCell ref="A26:A29"/>
    <mergeCell ref="B33:B35"/>
    <mergeCell ref="A33:A35"/>
    <mergeCell ref="B36:B38"/>
    <mergeCell ref="A36:A38"/>
    <mergeCell ref="B44:B46"/>
    <mergeCell ref="A44:A46"/>
    <mergeCell ref="C65:C66"/>
    <mergeCell ref="C63:C64"/>
    <mergeCell ref="D63:D64"/>
    <mergeCell ref="D65:D66"/>
    <mergeCell ref="D92:D93"/>
    <mergeCell ref="C92:C93"/>
    <mergeCell ref="B92:B94"/>
    <mergeCell ref="A92:A94"/>
    <mergeCell ref="B95:B96"/>
    <mergeCell ref="A95:A96"/>
    <mergeCell ref="C80:C81"/>
    <mergeCell ref="D80:D81"/>
    <mergeCell ref="C84:C85"/>
    <mergeCell ref="C82:C83"/>
    <mergeCell ref="D82:D83"/>
    <mergeCell ref="D84:D85"/>
    <mergeCell ref="B82:B85"/>
    <mergeCell ref="A82:A85"/>
    <mergeCell ref="A86:A87"/>
    <mergeCell ref="B86:B87"/>
    <mergeCell ref="C86:C87"/>
    <mergeCell ref="D86:D87"/>
  </mergeCells>
  <phoneticPr fontId="2" type="noConversion"/>
  <dataValidations count="1">
    <dataValidation type="list" allowBlank="1" showInputMessage="1" showErrorMessage="1" sqref="H2:J96" xr:uid="{6098668C-7A25-45B0-8BCD-5D136ED74DE6}">
      <formula1>INDIRECT(G2)</formula1>
    </dataValidation>
  </dataValidations>
  <pageMargins left="0.25" right="0.25" top="0.75" bottom="0.75" header="0.3" footer="0.3"/>
  <pageSetup paperSize="9" scale="34" fitToHeight="0" orientation="portrait" horizontalDpi="4294967293" r:id="rId1"/>
  <extLst>
    <ext xmlns:x14="http://schemas.microsoft.com/office/spreadsheetml/2009/9/main" uri="{CCE6A557-97BC-4b89-ADB6-D9C93CAAB3DF}">
      <x14:dataValidations xmlns:xm="http://schemas.microsoft.com/office/excel/2006/main" count="1">
        <x14:dataValidation type="list" allowBlank="1" showInputMessage="1" showErrorMessage="1" xr:uid="{35F2E979-C11A-4F12-B5CF-FE698E2E39DD}">
          <x14:formula1>
            <xm:f>Classes!$A$2:$A$3</xm:f>
          </x14:formula1>
          <xm:sqref>G2:G96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860B2-B4BF-4D23-BB34-3A317D6DDD34}">
  <sheetPr codeName="Tabelle2"/>
  <dimension ref="A1:L12"/>
  <sheetViews>
    <sheetView zoomScale="85" zoomScaleNormal="85" workbookViewId="0">
      <selection activeCell="B3" sqref="B3"/>
    </sheetView>
  </sheetViews>
  <sheetFormatPr baseColWidth="10" defaultRowHeight="30" customHeight="1" x14ac:dyDescent="0.3"/>
  <cols>
    <col min="3" max="3" width="13.5546875" bestFit="1" customWidth="1"/>
    <col min="4" max="4" width="20.21875" bestFit="1" customWidth="1"/>
    <col min="5" max="5" width="22.5546875" customWidth="1"/>
    <col min="6" max="6" width="21.88671875" customWidth="1"/>
    <col min="7" max="7" width="14.109375" customWidth="1"/>
    <col min="8" max="8" width="17" customWidth="1"/>
    <col min="9" max="9" width="13.21875" bestFit="1" customWidth="1"/>
    <col min="10" max="10" width="14.44140625" bestFit="1" customWidth="1"/>
    <col min="11" max="11" width="15.5546875" customWidth="1"/>
    <col min="12" max="12" width="12.33203125" bestFit="1" customWidth="1"/>
  </cols>
  <sheetData>
    <row r="1" spans="1:12" ht="31.2" customHeight="1" x14ac:dyDescent="0.3">
      <c r="A1" s="4" t="s">
        <v>66</v>
      </c>
      <c r="B1" s="6" t="s">
        <v>67</v>
      </c>
      <c r="C1" s="6" t="s">
        <v>68</v>
      </c>
      <c r="D1" s="6" t="s">
        <v>137</v>
      </c>
      <c r="E1" s="6" t="s">
        <v>167</v>
      </c>
      <c r="F1" s="6" t="s">
        <v>168</v>
      </c>
      <c r="G1" s="6" t="s">
        <v>80</v>
      </c>
      <c r="H1" s="6" t="s">
        <v>81</v>
      </c>
      <c r="I1" s="6" t="s">
        <v>82</v>
      </c>
      <c r="J1" s="6" t="s">
        <v>83</v>
      </c>
      <c r="K1" s="6" t="s">
        <v>84</v>
      </c>
      <c r="L1" s="6" t="s">
        <v>85</v>
      </c>
    </row>
    <row r="2" spans="1:12" ht="30" customHeight="1" x14ac:dyDescent="0.3">
      <c r="A2" s="7" t="s">
        <v>67</v>
      </c>
      <c r="B2" s="7" t="s">
        <v>69</v>
      </c>
      <c r="C2" s="7" t="s">
        <v>137</v>
      </c>
      <c r="D2" s="8" t="s">
        <v>167</v>
      </c>
      <c r="E2" s="5" t="s">
        <v>138</v>
      </c>
      <c r="F2" s="5" t="s">
        <v>141</v>
      </c>
      <c r="G2" s="2" t="s">
        <v>143</v>
      </c>
      <c r="H2" s="5" t="s">
        <v>145</v>
      </c>
      <c r="I2" s="5" t="s">
        <v>150</v>
      </c>
      <c r="J2" s="5" t="s">
        <v>154</v>
      </c>
      <c r="K2" s="5" t="s">
        <v>159</v>
      </c>
      <c r="L2" s="5" t="s">
        <v>164</v>
      </c>
    </row>
    <row r="3" spans="1:12" ht="30" customHeight="1" x14ac:dyDescent="0.3">
      <c r="A3" s="7" t="s">
        <v>68</v>
      </c>
      <c r="B3" s="7" t="s">
        <v>70</v>
      </c>
      <c r="C3" s="7" t="s">
        <v>75</v>
      </c>
      <c r="D3" s="8" t="s">
        <v>168</v>
      </c>
      <c r="E3" s="5" t="s">
        <v>139</v>
      </c>
      <c r="F3" s="5" t="s">
        <v>142</v>
      </c>
      <c r="G3" s="2" t="s">
        <v>144</v>
      </c>
      <c r="H3" s="5" t="s">
        <v>146</v>
      </c>
      <c r="I3" s="5" t="s">
        <v>151</v>
      </c>
      <c r="J3" s="5" t="s">
        <v>155</v>
      </c>
      <c r="K3" s="5" t="s">
        <v>160</v>
      </c>
      <c r="L3" s="5" t="s">
        <v>165</v>
      </c>
    </row>
    <row r="4" spans="1:12" ht="30" customHeight="1" x14ac:dyDescent="0.3">
      <c r="A4" s="7"/>
      <c r="B4" s="7" t="s">
        <v>71</v>
      </c>
      <c r="C4" s="7" t="s">
        <v>76</v>
      </c>
      <c r="D4" s="8" t="s">
        <v>80</v>
      </c>
      <c r="E4" s="5" t="s">
        <v>140</v>
      </c>
      <c r="F4" s="5" t="s">
        <v>170</v>
      </c>
      <c r="G4" s="2"/>
      <c r="H4" s="5" t="s">
        <v>147</v>
      </c>
      <c r="I4" s="5" t="s">
        <v>152</v>
      </c>
      <c r="J4" s="5" t="s">
        <v>156</v>
      </c>
      <c r="K4" s="5" t="s">
        <v>161</v>
      </c>
      <c r="L4" s="5" t="s">
        <v>166</v>
      </c>
    </row>
    <row r="5" spans="1:12" ht="30" customHeight="1" x14ac:dyDescent="0.3">
      <c r="A5" s="7"/>
      <c r="B5" s="7" t="s">
        <v>72</v>
      </c>
      <c r="C5" s="9"/>
      <c r="D5" s="8" t="s">
        <v>81</v>
      </c>
      <c r="E5" s="5"/>
      <c r="F5" s="2"/>
      <c r="G5" s="2"/>
      <c r="H5" s="5" t="s">
        <v>148</v>
      </c>
      <c r="I5" s="5" t="s">
        <v>153</v>
      </c>
      <c r="J5" s="5" t="s">
        <v>157</v>
      </c>
      <c r="K5" s="5" t="s">
        <v>162</v>
      </c>
      <c r="L5" s="2"/>
    </row>
    <row r="6" spans="1:12" ht="30" customHeight="1" x14ac:dyDescent="0.3">
      <c r="A6" s="7"/>
      <c r="B6" s="7" t="s">
        <v>73</v>
      </c>
      <c r="C6" s="9"/>
      <c r="D6" s="8" t="s">
        <v>82</v>
      </c>
      <c r="E6" s="5"/>
      <c r="F6" s="2"/>
      <c r="G6" s="2"/>
      <c r="H6" s="5" t="s">
        <v>149</v>
      </c>
      <c r="I6" s="2"/>
      <c r="J6" s="5" t="s">
        <v>158</v>
      </c>
      <c r="K6" s="5" t="s">
        <v>163</v>
      </c>
      <c r="L6" s="2"/>
    </row>
    <row r="7" spans="1:12" ht="30" customHeight="1" x14ac:dyDescent="0.3">
      <c r="A7" s="9"/>
      <c r="B7" s="9"/>
      <c r="C7" s="9"/>
      <c r="D7" s="8" t="s">
        <v>83</v>
      </c>
      <c r="E7" s="5"/>
      <c r="F7" s="2"/>
      <c r="G7" s="2"/>
      <c r="H7" s="2"/>
      <c r="I7" s="2"/>
      <c r="J7" s="2"/>
      <c r="K7" s="2"/>
      <c r="L7" s="2"/>
    </row>
    <row r="8" spans="1:12" ht="30" customHeight="1" x14ac:dyDescent="0.3">
      <c r="A8" s="10"/>
      <c r="B8" s="10"/>
      <c r="C8" s="9"/>
      <c r="D8" s="8" t="s">
        <v>84</v>
      </c>
      <c r="E8" s="5"/>
      <c r="F8" s="2"/>
      <c r="G8" s="2"/>
      <c r="H8" s="2"/>
      <c r="I8" s="2"/>
      <c r="J8" s="2"/>
      <c r="K8" s="2"/>
      <c r="L8" s="2"/>
    </row>
    <row r="9" spans="1:12" ht="30" customHeight="1" x14ac:dyDescent="0.3">
      <c r="A9" s="10"/>
      <c r="B9" s="10"/>
      <c r="C9" s="9"/>
      <c r="D9" s="8" t="s">
        <v>85</v>
      </c>
      <c r="E9" s="5"/>
      <c r="F9" s="2"/>
      <c r="G9" s="2"/>
      <c r="H9" s="2"/>
      <c r="I9" s="2"/>
      <c r="J9" s="2"/>
      <c r="K9" s="2"/>
      <c r="L9" s="2"/>
    </row>
    <row r="11" spans="1:12" ht="30" customHeight="1" x14ac:dyDescent="0.3">
      <c r="C11" s="11"/>
    </row>
    <row r="12" spans="1:12" ht="30" customHeight="1" x14ac:dyDescent="0.3">
      <c r="C12" s="11" t="s">
        <v>273</v>
      </c>
    </row>
  </sheetData>
  <hyperlinks>
    <hyperlink ref="C12" r:id="rId1" xr:uid="{8A063D29-51DF-4C0F-A2B0-2674BC42BB29}"/>
  </hyperlinks>
  <pageMargins left="0.7" right="0.7" top="0.78740157499999996" bottom="0.78740157499999996" header="0.3" footer="0.3"/>
  <legacyDrawing r:id="rId2"/>
  <tableParts count="12">
    <tablePart r:id="rId3"/>
    <tablePart r:id="rId4"/>
    <tablePart r:id="rId5"/>
    <tablePart r:id="rId6"/>
    <tablePart r:id="rId7"/>
    <tablePart r:id="rId8"/>
    <tablePart r:id="rId9"/>
    <tablePart r:id="rId10"/>
    <tablePart r:id="rId11"/>
    <tablePart r:id="rId12"/>
    <tablePart r:id="rId13"/>
    <tablePart r:id="rId1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77CFB-CAD0-42DA-802A-1548A23A26F3}">
  <dimension ref="A1:D7"/>
  <sheetViews>
    <sheetView workbookViewId="0">
      <selection activeCell="C8" sqref="C8"/>
    </sheetView>
  </sheetViews>
  <sheetFormatPr baseColWidth="10" defaultRowHeight="28.8" customHeight="1" x14ac:dyDescent="0.3"/>
  <cols>
    <col min="1" max="1" width="22.77734375" style="2" bestFit="1" customWidth="1"/>
    <col min="2" max="2" width="24" style="2" bestFit="1" customWidth="1"/>
    <col min="3" max="3" width="24.5546875" style="2" bestFit="1" customWidth="1"/>
    <col min="4" max="4" width="22.21875" style="2" bestFit="1" customWidth="1"/>
    <col min="5" max="16384" width="11.5546875" style="2"/>
  </cols>
  <sheetData>
    <row r="1" spans="1:4" s="4" customFormat="1" ht="28.8" customHeight="1" x14ac:dyDescent="0.3">
      <c r="A1" s="4" t="s">
        <v>302</v>
      </c>
      <c r="B1" s="4" t="s">
        <v>309</v>
      </c>
      <c r="C1" s="4" t="s">
        <v>310</v>
      </c>
      <c r="D1" s="4" t="s">
        <v>311</v>
      </c>
    </row>
    <row r="2" spans="1:4" ht="28.8" customHeight="1" x14ac:dyDescent="0.3">
      <c r="A2" s="2" t="s">
        <v>306</v>
      </c>
      <c r="B2" s="2" t="s">
        <v>312</v>
      </c>
      <c r="C2" s="2" t="s">
        <v>312</v>
      </c>
      <c r="D2" s="2" t="s">
        <v>312</v>
      </c>
    </row>
    <row r="3" spans="1:4" ht="28.8" customHeight="1" x14ac:dyDescent="0.3">
      <c r="A3" s="2" t="s">
        <v>303</v>
      </c>
      <c r="B3" s="2" t="s">
        <v>313</v>
      </c>
      <c r="C3" s="2" t="s">
        <v>314</v>
      </c>
      <c r="D3" s="7" t="s">
        <v>322</v>
      </c>
    </row>
    <row r="4" spans="1:4" ht="28.8" customHeight="1" x14ac:dyDescent="0.3">
      <c r="A4" s="2" t="s">
        <v>304</v>
      </c>
      <c r="B4" s="5" t="s">
        <v>321</v>
      </c>
      <c r="C4" s="2" t="s">
        <v>315</v>
      </c>
      <c r="D4" s="2" t="s">
        <v>319</v>
      </c>
    </row>
    <row r="5" spans="1:4" ht="28.8" customHeight="1" x14ac:dyDescent="0.3">
      <c r="A5" s="7" t="s">
        <v>305</v>
      </c>
      <c r="C5" s="2" t="s">
        <v>316</v>
      </c>
      <c r="D5" s="2" t="s">
        <v>320</v>
      </c>
    </row>
    <row r="6" spans="1:4" ht="28.8" customHeight="1" x14ac:dyDescent="0.3">
      <c r="A6" s="2" t="s">
        <v>307</v>
      </c>
      <c r="C6" s="2" t="s">
        <v>317</v>
      </c>
    </row>
    <row r="7" spans="1:4" ht="28.8" customHeight="1" x14ac:dyDescent="0.3">
      <c r="A7" s="2" t="s">
        <v>308</v>
      </c>
      <c r="C7" s="2" t="s">
        <v>318</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F103C-AD78-45F4-B288-61D8C1537F9F}">
  <sheetPr codeName="Tabelle3"/>
  <dimension ref="A1:E6"/>
  <sheetViews>
    <sheetView workbookViewId="0">
      <selection activeCell="E6" sqref="E6"/>
    </sheetView>
  </sheetViews>
  <sheetFormatPr baseColWidth="10" defaultRowHeight="14.4" x14ac:dyDescent="0.3"/>
  <cols>
    <col min="1" max="1" width="12.6640625" style="13" bestFit="1" customWidth="1"/>
    <col min="2" max="16384" width="11.5546875" style="13"/>
  </cols>
  <sheetData>
    <row r="1" spans="1:5" x14ac:dyDescent="0.3">
      <c r="B1" s="14" t="s">
        <v>51</v>
      </c>
      <c r="D1" s="14" t="s">
        <v>64</v>
      </c>
    </row>
    <row r="2" spans="1:5" x14ac:dyDescent="0.3">
      <c r="A2" s="3" t="s">
        <v>62</v>
      </c>
      <c r="B2" s="1">
        <f>COUNTA(Requirements!B:B)-1</f>
        <v>21</v>
      </c>
      <c r="C2" s="13" t="s">
        <v>86</v>
      </c>
      <c r="D2" s="1">
        <f>COUNTA(Requirements!A:A)-1</f>
        <v>21</v>
      </c>
      <c r="E2" s="13" t="s">
        <v>87</v>
      </c>
    </row>
    <row r="3" spans="1:5" x14ac:dyDescent="0.3">
      <c r="A3" s="14" t="s">
        <v>63</v>
      </c>
      <c r="B3" s="1">
        <f>COUNTA(Requirements!D:D)-1</f>
        <v>46</v>
      </c>
      <c r="C3" s="13" t="s">
        <v>86</v>
      </c>
      <c r="D3" s="1">
        <f>COUNTA(Requirements!C:C)-1</f>
        <v>46</v>
      </c>
      <c r="E3" s="13" t="s">
        <v>87</v>
      </c>
    </row>
    <row r="4" spans="1:5" x14ac:dyDescent="0.3">
      <c r="A4" s="14" t="s">
        <v>61</v>
      </c>
      <c r="B4" s="1">
        <f>COUNTA(Requirements!F:F)-1</f>
        <v>95</v>
      </c>
      <c r="C4" s="13" t="s">
        <v>86</v>
      </c>
      <c r="D4" s="1">
        <f>COUNTA(Requirements!E:E)-1</f>
        <v>95</v>
      </c>
      <c r="E4" s="13" t="s">
        <v>87</v>
      </c>
    </row>
    <row r="6" spans="1:5" x14ac:dyDescent="0.3">
      <c r="A6" s="14" t="s">
        <v>79</v>
      </c>
      <c r="B6" s="13">
        <f>(COUNTA(Requirements!G:G)-1+COUNTA(Requirements!H:H)-1)/2</f>
        <v>95</v>
      </c>
      <c r="C6" s="13" t="s">
        <v>86</v>
      </c>
      <c r="D6" s="13">
        <f>COUNTA(Requirements!E:E)-1</f>
        <v>95</v>
      </c>
    </row>
  </sheetData>
  <pageMargins left="0.7" right="0.7" top="0.78740157499999996" bottom="0.78740157499999996"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1449BB99344D7540AB0E13BA57A63F38" ma:contentTypeVersion="10" ma:contentTypeDescription="Ein neues Dokument erstellen." ma:contentTypeScope="" ma:versionID="a162f7917302c0cf3fe2ff1d36b2bf06">
  <xsd:schema xmlns:xsd="http://www.w3.org/2001/XMLSchema" xmlns:xs="http://www.w3.org/2001/XMLSchema" xmlns:p="http://schemas.microsoft.com/office/2006/metadata/properties" xmlns:ns2="67842a02-e3e0-419a-8116-1fbbd08a145b" xmlns:ns3="40dd1fa2-57cc-4199-bb0b-117a2f50b8c7" targetNamespace="http://schemas.microsoft.com/office/2006/metadata/properties" ma:root="true" ma:fieldsID="888d591bcfc3ada161594f3cd4063b7e" ns2:_="" ns3:_="">
    <xsd:import namespace="67842a02-e3e0-419a-8116-1fbbd08a145b"/>
    <xsd:import namespace="40dd1fa2-57cc-4199-bb0b-117a2f50b8c7"/>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842a02-e3e0-419a-8116-1fbbd08a145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0dd1fa2-57cc-4199-bb0b-117a2f50b8c7" elementFormDefault="qualified">
    <xsd:import namespace="http://schemas.microsoft.com/office/2006/documentManagement/types"/>
    <xsd:import namespace="http://schemas.microsoft.com/office/infopath/2007/PartnerControls"/>
    <xsd:element name="SharedWithUsers" ma:index="14"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Freigegeben für -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E02E58E-468A-460D-8B9A-EAF2D708C4DE}">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19459383-464F-46AC-9B40-808E3BB070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842a02-e3e0-419a-8116-1fbbd08a145b"/>
    <ds:schemaRef ds:uri="40dd1fa2-57cc-4199-bb0b-117a2f50b8c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6CA8D61-4C0A-4EAB-B49F-F53519DEFA3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4</vt:i4>
      </vt:variant>
    </vt:vector>
  </HeadingPairs>
  <TitlesOfParts>
    <vt:vector size="4" baseType="lpstr">
      <vt:lpstr>Requirements</vt:lpstr>
      <vt:lpstr>Classes</vt:lpstr>
      <vt:lpstr>UIs</vt:lpstr>
      <vt:lpstr>Stats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Kanz</dc:creator>
  <cp:lastModifiedBy>Sebastian Kanz</cp:lastModifiedBy>
  <cp:lastPrinted>2019-11-15T08:57:42Z</cp:lastPrinted>
  <dcterms:created xsi:type="dcterms:W3CDTF">2019-11-08T13:50:02Z</dcterms:created>
  <dcterms:modified xsi:type="dcterms:W3CDTF">2019-11-22T15:13:13Z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0x0101001449BB99344D7540AB0E13BA57A63F38</vt:lpwstr>
  </property>
</Properties>
</file>